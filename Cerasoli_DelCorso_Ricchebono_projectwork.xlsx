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\Giogiò\Universita\MDAE\"/>
    </mc:Choice>
  </mc:AlternateContent>
  <xr:revisionPtr revIDLastSave="0" documentId="13_ncr:1_{C4465DFA-D91B-4D4D-95EB-58B19440E2D9}" xr6:coauthVersionLast="47" xr6:coauthVersionMax="47" xr10:uidLastSave="{00000000-0000-0000-0000-000000000000}"/>
  <bookViews>
    <workbookView xWindow="-120" yWindow="-120" windowWidth="20730" windowHeight="11040" xr2:uid="{48546497-2ED3-47AE-A482-ABAD2F134C42}"/>
  </bookViews>
  <sheets>
    <sheet name="Base" sheetId="1" r:id="rId1"/>
    <sheet name="Base (2)" sheetId="8" r:id="rId2"/>
    <sheet name="Base (3)" sheetId="9" r:id="rId3"/>
    <sheet name="Base (4)" sheetId="10" r:id="rId4"/>
    <sheet name="Base (5)" sheetId="11" r:id="rId5"/>
  </sheets>
  <definedNames>
    <definedName name="solver_adj" localSheetId="0" hidden="1">Base!$V$2:$AC$9,Base!$V$12:$AC$19,Base!$V$22:$AC$29</definedName>
    <definedName name="solver_adj" localSheetId="1" hidden="1">'Base (2)'!$V$2:$AC$9,'Base (2)'!$V$12:$AC$19,'Base (2)'!$V$22:$AC$29</definedName>
    <definedName name="solver_adj" localSheetId="2" hidden="1">'Base (3)'!$V$2:$AC$9,'Base (3)'!$V$12:$AC$19,'Base (3)'!$V$22:$AC$29</definedName>
    <definedName name="solver_adj" localSheetId="3" hidden="1">'Base (4)'!$V$2:$AC$9,'Base (4)'!$V$12:$AC$19,'Base (4)'!$V$22:$AC$29</definedName>
    <definedName name="solver_adj" localSheetId="4" hidden="1">'Base (5)'!$V$2:$AC$9,'Base (5)'!$V$12:$AC$19,'Base (5)'!$V$22:$AC$29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cvg" localSheetId="3" hidden="1">0.0001</definedName>
    <definedName name="solver_cvg" localSheetId="4" hidden="1">0.0001</definedName>
    <definedName name="solver_drv" localSheetId="0" hidden="1">1</definedName>
    <definedName name="solver_drv" localSheetId="1" hidden="1">1</definedName>
    <definedName name="solver_drv" localSheetId="2" hidden="1">1</definedName>
    <definedName name="solver_drv" localSheetId="3" hidden="1">1</definedName>
    <definedName name="solver_drv" localSheetId="4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ng" localSheetId="3" hidden="1">2</definedName>
    <definedName name="solver_eng" localSheetId="4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est" localSheetId="3" hidden="1">1</definedName>
    <definedName name="solver_est" localSheetId="4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itr" localSheetId="3" hidden="1">2147483647</definedName>
    <definedName name="solver_itr" localSheetId="4" hidden="1">2147483647</definedName>
    <definedName name="solver_lhs1" localSheetId="0" hidden="1">Base!$E$62</definedName>
    <definedName name="solver_lhs1" localSheetId="1" hidden="1">'Base (2)'!$E$36</definedName>
    <definedName name="solver_lhs1" localSheetId="2" hidden="1">'Base (3)'!$E$36</definedName>
    <definedName name="solver_lhs1" localSheetId="3" hidden="1">'Base (4)'!$E$36</definedName>
    <definedName name="solver_lhs1" localSheetId="4" hidden="1">'Base (5)'!$E$36</definedName>
    <definedName name="solver_lhs10" localSheetId="0" hidden="1">Base!$V$2:$AC$9</definedName>
    <definedName name="solver_lhs10" localSheetId="1" hidden="1">'Base (2)'!$V$12:$AC$19</definedName>
    <definedName name="solver_lhs10" localSheetId="2" hidden="1">'Base (3)'!$P$36</definedName>
    <definedName name="solver_lhs10" localSheetId="3" hidden="1">'Base (4)'!$P$36:$P$43</definedName>
    <definedName name="solver_lhs10" localSheetId="4" hidden="1">'Base (5)'!$V$2:$AC$9</definedName>
    <definedName name="solver_lhs11" localSheetId="0" hidden="1">Base!$R$40:$R$43</definedName>
    <definedName name="solver_lhs11" localSheetId="1" hidden="1">'Base (2)'!$V$22:$AC$29</definedName>
    <definedName name="solver_lhs11" localSheetId="2" hidden="1">'Base (3)'!$V$2:$AC$9</definedName>
    <definedName name="solver_lhs11" localSheetId="3" hidden="1">'Base (4)'!$V$2:$AC$9</definedName>
    <definedName name="solver_lhs11" localSheetId="4" hidden="1">'Base (5)'!$R$40:$R$43</definedName>
    <definedName name="solver_lhs12" localSheetId="0" hidden="1">Base!$R$40:$R$43</definedName>
    <definedName name="solver_lhs12" localSheetId="1" hidden="1">'Base (2)'!$O$42</definedName>
    <definedName name="solver_lhs12" localSheetId="2" hidden="1">'Base (3)'!$R$40:$R$43</definedName>
    <definedName name="solver_lhs12" localSheetId="3" hidden="1">'Base (4)'!$R$40:$R$43</definedName>
    <definedName name="solver_lhs12" localSheetId="4" hidden="1">'Base (5)'!$R$40:$R$43</definedName>
    <definedName name="solver_lhs13" localSheetId="0" hidden="1">Base!$R$40:$R$43</definedName>
    <definedName name="solver_lhs13" localSheetId="1" hidden="1">'Base (2)'!$V$2:$AC$9</definedName>
    <definedName name="solver_lhs13" localSheetId="2" hidden="1">'Base (3)'!$R$40:$R$43</definedName>
    <definedName name="solver_lhs13" localSheetId="3" hidden="1">'Base (4)'!$R$40:$R$43</definedName>
    <definedName name="solver_lhs13" localSheetId="4" hidden="1">'Base (5)'!$R$40:$R$43</definedName>
    <definedName name="solver_lhs14" localSheetId="0" hidden="1">Base!$R$40:$R$43</definedName>
    <definedName name="solver_lhs14" localSheetId="1" hidden="1">'Base (2)'!$R$40:$R$43</definedName>
    <definedName name="solver_lhs14" localSheetId="2" hidden="1">'Base (3)'!$R$40:$R$43</definedName>
    <definedName name="solver_lhs14" localSheetId="3" hidden="1">'Base (4)'!$R$40:$R$43</definedName>
    <definedName name="solver_lhs14" localSheetId="4" hidden="1">'Base (5)'!$R$40:$R$43</definedName>
    <definedName name="solver_lhs15" localSheetId="0" hidden="1">Base!$F$49:$F$56</definedName>
    <definedName name="solver_lhs15" localSheetId="1" hidden="1">'Base (2)'!$F$49:$F$56</definedName>
    <definedName name="solver_lhs15" localSheetId="2" hidden="1">'Base (3)'!$F$49:$F$56</definedName>
    <definedName name="solver_lhs15" localSheetId="3" hidden="1">'Base (4)'!$F$49:$F$56</definedName>
    <definedName name="solver_lhs15" localSheetId="4" hidden="1">'Base (5)'!$F$49:$F$56</definedName>
    <definedName name="solver_lhs2" localSheetId="0" hidden="1">Base!$F$39</definedName>
    <definedName name="solver_lhs2" localSheetId="1" hidden="1">'Base (2)'!$E$59</definedName>
    <definedName name="solver_lhs2" localSheetId="2" hidden="1">'Base (3)'!$E$59</definedName>
    <definedName name="solver_lhs2" localSheetId="3" hidden="1">'Base (4)'!$E$59</definedName>
    <definedName name="solver_lhs2" localSheetId="4" hidden="1">'Base (5)'!$E$59</definedName>
    <definedName name="solver_lhs3" localSheetId="0" hidden="1">Base!$E$59</definedName>
    <definedName name="solver_lhs3" localSheetId="1" hidden="1">'Base (2)'!$F$39</definedName>
    <definedName name="solver_lhs3" localSheetId="2" hidden="1">'Base (3)'!$F$39</definedName>
    <definedName name="solver_lhs3" localSheetId="3" hidden="1">'Base (4)'!$F$39</definedName>
    <definedName name="solver_lhs3" localSheetId="4" hidden="1">'Base (5)'!$E$62</definedName>
    <definedName name="solver_lhs4" localSheetId="0" hidden="1">Base!$F$40:$F$46</definedName>
    <definedName name="solver_lhs4" localSheetId="1" hidden="1">'Base (2)'!$F$40:$F$46</definedName>
    <definedName name="solver_lhs4" localSheetId="2" hidden="1">'Base (3)'!$F$40:$F$46</definedName>
    <definedName name="solver_lhs4" localSheetId="3" hidden="1">'Base (4)'!$F$40:$F$46</definedName>
    <definedName name="solver_lhs4" localSheetId="4" hidden="1">'Base (5)'!$K$36:$K$63</definedName>
    <definedName name="solver_lhs5" localSheetId="0" hidden="1">Base!$F$49:$F$56</definedName>
    <definedName name="solver_lhs5" localSheetId="1" hidden="1">'Base (2)'!$F$49:$F$56</definedName>
    <definedName name="solver_lhs5" localSheetId="2" hidden="1">'Base (3)'!$F$49:$F$56</definedName>
    <definedName name="solver_lhs5" localSheetId="3" hidden="1">'Base (4)'!$F$49:$F$56</definedName>
    <definedName name="solver_lhs5" localSheetId="4" hidden="1">'Base (5)'!$F$40:$F$46</definedName>
    <definedName name="solver_lhs6" localSheetId="0" hidden="1">Base!$K$36:$K$63</definedName>
    <definedName name="solver_lhs6" localSheetId="1" hidden="1">'Base (2)'!$K$36:$K$63</definedName>
    <definedName name="solver_lhs6" localSheetId="2" hidden="1">'Base (3)'!$K$36:$K$63</definedName>
    <definedName name="solver_lhs6" localSheetId="3" hidden="1">'Base (4)'!$K$36:$K$63</definedName>
    <definedName name="solver_lhs6" localSheetId="4" hidden="1">'Base (5)'!$F$49:$F$56</definedName>
    <definedName name="solver_lhs7" localSheetId="0" hidden="1">Base!$V$12:$AC$19</definedName>
    <definedName name="solver_lhs7" localSheetId="1" hidden="1">'Base (2)'!$E$62</definedName>
    <definedName name="solver_lhs7" localSheetId="2" hidden="1">'Base (3)'!$E$62</definedName>
    <definedName name="solver_lhs7" localSheetId="3" hidden="1">'Base (4)'!$E$62</definedName>
    <definedName name="solver_lhs7" localSheetId="4" hidden="1">'Base (5)'!$V$22:$AC$29</definedName>
    <definedName name="solver_lhs8" localSheetId="0" hidden="1">Base!$V$22:$AC$29</definedName>
    <definedName name="solver_lhs8" localSheetId="1" hidden="1">'Base (2)'!$O$36</definedName>
    <definedName name="solver_lhs8" localSheetId="2" hidden="1">'Base (3)'!$V$12:$AC$19</definedName>
    <definedName name="solver_lhs8" localSheetId="3" hidden="1">'Base (4)'!$V$12:$AC$19</definedName>
    <definedName name="solver_lhs8" localSheetId="4" hidden="1">'Base (5)'!$V$12:$AC$19</definedName>
    <definedName name="solver_lhs9" localSheetId="0" hidden="1">Base!$E$36</definedName>
    <definedName name="solver_lhs9" localSheetId="1" hidden="1">'Base (2)'!$O$39</definedName>
    <definedName name="solver_lhs9" localSheetId="2" hidden="1">'Base (3)'!$V$22:$AC$29</definedName>
    <definedName name="solver_lhs9" localSheetId="3" hidden="1">'Base (4)'!$V$22:$AC$29</definedName>
    <definedName name="solver_lhs9" localSheetId="4" hidden="1">'Base (5)'!$F$39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ip" localSheetId="3" hidden="1">2147483647</definedName>
    <definedName name="solver_mip" localSheetId="4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ni" localSheetId="3" hidden="1">30</definedName>
    <definedName name="solver_mni" localSheetId="4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rt" localSheetId="3" hidden="1">0.075</definedName>
    <definedName name="solver_mrt" localSheetId="4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msl" localSheetId="3" hidden="1">2</definedName>
    <definedName name="solver_msl" localSheetId="4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eg" localSheetId="3" hidden="1">1</definedName>
    <definedName name="solver_neg" localSheetId="4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od" localSheetId="3" hidden="1">2147483647</definedName>
    <definedName name="solver_nod" localSheetId="4" hidden="1">2147483647</definedName>
    <definedName name="solver_num" localSheetId="0" hidden="1">10</definedName>
    <definedName name="solver_num" localSheetId="1" hidden="1">13</definedName>
    <definedName name="solver_num" localSheetId="2" hidden="1">11</definedName>
    <definedName name="solver_num" localSheetId="3" hidden="1">11</definedName>
    <definedName name="solver_num" localSheetId="4" hidden="1">10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nwt" localSheetId="3" hidden="1">1</definedName>
    <definedName name="solver_nwt" localSheetId="4" hidden="1">1</definedName>
    <definedName name="solver_opt" localSheetId="0" hidden="1">Base!$U$33</definedName>
    <definedName name="solver_opt" localSheetId="1" hidden="1">'Base (2)'!$U$33</definedName>
    <definedName name="solver_opt" localSheetId="2" hidden="1">'Base (3)'!$U$33</definedName>
    <definedName name="solver_opt" localSheetId="3" hidden="1">'Base (4)'!$U$33</definedName>
    <definedName name="solver_opt" localSheetId="4" hidden="1">'Base (5)'!$U$33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pre" localSheetId="3" hidden="1">0.000001</definedName>
    <definedName name="solver_pre" localSheetId="4" hidden="1">0.000001</definedName>
    <definedName name="solver_rbv" localSheetId="0" hidden="1">1</definedName>
    <definedName name="solver_rbv" localSheetId="1" hidden="1">1</definedName>
    <definedName name="solver_rbv" localSheetId="2" hidden="1">1</definedName>
    <definedName name="solver_rbv" localSheetId="3" hidden="1">1</definedName>
    <definedName name="solver_rbv" localSheetId="4" hidden="1">1</definedName>
    <definedName name="solver_rel1" localSheetId="0" hidden="1">2</definedName>
    <definedName name="solver_rel1" localSheetId="1" hidden="1">1</definedName>
    <definedName name="solver_rel1" localSheetId="2" hidden="1">1</definedName>
    <definedName name="solver_rel1" localSheetId="3" hidden="1">1</definedName>
    <definedName name="solver_rel1" localSheetId="4" hidden="1">1</definedName>
    <definedName name="solver_rel10" localSheetId="0" hidden="1">5</definedName>
    <definedName name="solver_rel10" localSheetId="1" hidden="1">5</definedName>
    <definedName name="solver_rel10" localSheetId="2" hidden="1">2</definedName>
    <definedName name="solver_rel10" localSheetId="3" hidden="1">1</definedName>
    <definedName name="solver_rel10" localSheetId="4" hidden="1">5</definedName>
    <definedName name="solver_rel11" localSheetId="0" hidden="1">1</definedName>
    <definedName name="solver_rel11" localSheetId="1" hidden="1">5</definedName>
    <definedName name="solver_rel11" localSheetId="2" hidden="1">5</definedName>
    <definedName name="solver_rel11" localSheetId="3" hidden="1">5</definedName>
    <definedName name="solver_rel11" localSheetId="4" hidden="1">1</definedName>
    <definedName name="solver_rel12" localSheetId="0" hidden="1">1</definedName>
    <definedName name="solver_rel12" localSheetId="1" hidden="1">3</definedName>
    <definedName name="solver_rel12" localSheetId="2" hidden="1">1</definedName>
    <definedName name="solver_rel12" localSheetId="3" hidden="1">1</definedName>
    <definedName name="solver_rel12" localSheetId="4" hidden="1">1</definedName>
    <definedName name="solver_rel13" localSheetId="0" hidden="1">1</definedName>
    <definedName name="solver_rel13" localSheetId="1" hidden="1">5</definedName>
    <definedName name="solver_rel13" localSheetId="2" hidden="1">1</definedName>
    <definedName name="solver_rel13" localSheetId="3" hidden="1">1</definedName>
    <definedName name="solver_rel13" localSheetId="4" hidden="1">1</definedName>
    <definedName name="solver_rel14" localSheetId="0" hidden="1">1</definedName>
    <definedName name="solver_rel14" localSheetId="1" hidden="1">1</definedName>
    <definedName name="solver_rel14" localSheetId="2" hidden="1">1</definedName>
    <definedName name="solver_rel14" localSheetId="3" hidden="1">1</definedName>
    <definedName name="solver_rel14" localSheetId="4" hidden="1">1</definedName>
    <definedName name="solver_rel15" localSheetId="0" hidden="1">2</definedName>
    <definedName name="solver_rel15" localSheetId="1" hidden="1">2</definedName>
    <definedName name="solver_rel15" localSheetId="2" hidden="1">2</definedName>
    <definedName name="solver_rel15" localSheetId="3" hidden="1">2</definedName>
    <definedName name="solver_rel15" localSheetId="4" hidden="1">2</definedName>
    <definedName name="solver_rel2" localSheetId="0" hidden="1">2</definedName>
    <definedName name="solver_rel2" localSheetId="1" hidden="1">2</definedName>
    <definedName name="solver_rel2" localSheetId="2" hidden="1">2</definedName>
    <definedName name="solver_rel2" localSheetId="3" hidden="1">2</definedName>
    <definedName name="solver_rel2" localSheetId="4" hidden="1">2</definedName>
    <definedName name="solver_rel3" localSheetId="0" hidden="1">2</definedName>
    <definedName name="solver_rel3" localSheetId="1" hidden="1">2</definedName>
    <definedName name="solver_rel3" localSheetId="2" hidden="1">2</definedName>
    <definedName name="solver_rel3" localSheetId="3" hidden="1">2</definedName>
    <definedName name="solver_rel3" localSheetId="4" hidden="1">2</definedName>
    <definedName name="solver_rel4" localSheetId="0" hidden="1">1</definedName>
    <definedName name="solver_rel4" localSheetId="1" hidden="1">1</definedName>
    <definedName name="solver_rel4" localSheetId="2" hidden="1">1</definedName>
    <definedName name="solver_rel4" localSheetId="3" hidden="1">1</definedName>
    <definedName name="solver_rel4" localSheetId="4" hidden="1">1</definedName>
    <definedName name="solver_rel5" localSheetId="0" hidden="1">2</definedName>
    <definedName name="solver_rel5" localSheetId="1" hidden="1">2</definedName>
    <definedName name="solver_rel5" localSheetId="2" hidden="1">2</definedName>
    <definedName name="solver_rel5" localSheetId="3" hidden="1">2</definedName>
    <definedName name="solver_rel5" localSheetId="4" hidden="1">1</definedName>
    <definedName name="solver_rel6" localSheetId="0" hidden="1">1</definedName>
    <definedName name="solver_rel6" localSheetId="1" hidden="1">1</definedName>
    <definedName name="solver_rel6" localSheetId="2" hidden="1">1</definedName>
    <definedName name="solver_rel6" localSheetId="3" hidden="1">1</definedName>
    <definedName name="solver_rel6" localSheetId="4" hidden="1">2</definedName>
    <definedName name="solver_rel7" localSheetId="0" hidden="1">5</definedName>
    <definedName name="solver_rel7" localSheetId="1" hidden="1">2</definedName>
    <definedName name="solver_rel7" localSheetId="2" hidden="1">2</definedName>
    <definedName name="solver_rel7" localSheetId="3" hidden="1">2</definedName>
    <definedName name="solver_rel7" localSheetId="4" hidden="1">5</definedName>
    <definedName name="solver_rel8" localSheetId="0" hidden="1">5</definedName>
    <definedName name="solver_rel8" localSheetId="1" hidden="1">3</definedName>
    <definedName name="solver_rel8" localSheetId="2" hidden="1">5</definedName>
    <definedName name="solver_rel8" localSheetId="3" hidden="1">5</definedName>
    <definedName name="solver_rel8" localSheetId="4" hidden="1">5</definedName>
    <definedName name="solver_rel9" localSheetId="0" hidden="1">1</definedName>
    <definedName name="solver_rel9" localSheetId="1" hidden="1">3</definedName>
    <definedName name="solver_rel9" localSheetId="2" hidden="1">5</definedName>
    <definedName name="solver_rel9" localSheetId="3" hidden="1">5</definedName>
    <definedName name="solver_rel9" localSheetId="4" hidden="1">2</definedName>
    <definedName name="solver_rhs1" localSheetId="0" hidden="1">Base!$G$62</definedName>
    <definedName name="solver_rhs1" localSheetId="1" hidden="1">'Base (2)'!$G$36</definedName>
    <definedName name="solver_rhs1" localSheetId="2" hidden="1">'Base (3)'!$G$36</definedName>
    <definedName name="solver_rhs1" localSheetId="3" hidden="1">'Base (4)'!$G$36</definedName>
    <definedName name="solver_rhs1" localSheetId="4" hidden="1">'Base (5)'!$G$36</definedName>
    <definedName name="solver_rhs10" localSheetId="0" hidden="1">"binario"</definedName>
    <definedName name="solver_rhs10" localSheetId="1" hidden="1">"binario"</definedName>
    <definedName name="solver_rhs10" localSheetId="2" hidden="1">'Base (3)'!$R$36</definedName>
    <definedName name="solver_rhs10" localSheetId="3" hidden="1">'Base (4)'!$R$36:$R$43</definedName>
    <definedName name="solver_rhs10" localSheetId="4" hidden="1">"binario"</definedName>
    <definedName name="solver_rhs11" localSheetId="0" hidden="1">Base!#REF!</definedName>
    <definedName name="solver_rhs11" localSheetId="1" hidden="1">"binario"</definedName>
    <definedName name="solver_rhs11" localSheetId="2" hidden="1">"binario"</definedName>
    <definedName name="solver_rhs11" localSheetId="3" hidden="1">"binario"</definedName>
    <definedName name="solver_rhs11" localSheetId="4" hidden="1">'Base (5)'!#REF!</definedName>
    <definedName name="solver_rhs12" localSheetId="0" hidden="1">Base!#REF!</definedName>
    <definedName name="solver_rhs12" localSheetId="1" hidden="1">'Base (2)'!$Q$42</definedName>
    <definedName name="solver_rhs12" localSheetId="2" hidden="1">'Base (3)'!#REF!</definedName>
    <definedName name="solver_rhs12" localSheetId="3" hidden="1">'Base (4)'!#REF!</definedName>
    <definedName name="solver_rhs12" localSheetId="4" hidden="1">'Base (5)'!#REF!</definedName>
    <definedName name="solver_rhs13" localSheetId="0" hidden="1">Base!#REF!</definedName>
    <definedName name="solver_rhs13" localSheetId="1" hidden="1">"binario"</definedName>
    <definedName name="solver_rhs13" localSheetId="2" hidden="1">'Base (3)'!#REF!</definedName>
    <definedName name="solver_rhs13" localSheetId="3" hidden="1">'Base (4)'!#REF!</definedName>
    <definedName name="solver_rhs13" localSheetId="4" hidden="1">'Base (5)'!#REF!</definedName>
    <definedName name="solver_rhs14" localSheetId="0" hidden="1">Base!#REF!</definedName>
    <definedName name="solver_rhs14" localSheetId="1" hidden="1">'Base (2)'!#REF!</definedName>
    <definedName name="solver_rhs14" localSheetId="2" hidden="1">'Base (3)'!#REF!</definedName>
    <definedName name="solver_rhs14" localSheetId="3" hidden="1">'Base (4)'!#REF!</definedName>
    <definedName name="solver_rhs14" localSheetId="4" hidden="1">'Base (5)'!#REF!</definedName>
    <definedName name="solver_rhs15" localSheetId="0" hidden="1">Base!$H$49:$H$56</definedName>
    <definedName name="solver_rhs15" localSheetId="1" hidden="1">'Base (2)'!$H$49:$H$56</definedName>
    <definedName name="solver_rhs15" localSheetId="2" hidden="1">'Base (3)'!$H$49:$H$56</definedName>
    <definedName name="solver_rhs15" localSheetId="3" hidden="1">'Base (4)'!$H$49:$H$56</definedName>
    <definedName name="solver_rhs15" localSheetId="4" hidden="1">'Base (5)'!$H$49:$H$56</definedName>
    <definedName name="solver_rhs2" localSheetId="0" hidden="1">Base!$H$39</definedName>
    <definedName name="solver_rhs2" localSheetId="1" hidden="1">'Base (2)'!$G$59</definedName>
    <definedName name="solver_rhs2" localSheetId="2" hidden="1">'Base (3)'!$G$59</definedName>
    <definedName name="solver_rhs2" localSheetId="3" hidden="1">'Base (4)'!$G$59</definedName>
    <definedName name="solver_rhs2" localSheetId="4" hidden="1">'Base (5)'!$G$59</definedName>
    <definedName name="solver_rhs3" localSheetId="0" hidden="1">Base!$G$59</definedName>
    <definedName name="solver_rhs3" localSheetId="1" hidden="1">'Base (2)'!$H$39</definedName>
    <definedName name="solver_rhs3" localSheetId="2" hidden="1">'Base (3)'!$H$39</definedName>
    <definedName name="solver_rhs3" localSheetId="3" hidden="1">'Base (4)'!$H$39</definedName>
    <definedName name="solver_rhs3" localSheetId="4" hidden="1">'Base (5)'!$G$62</definedName>
    <definedName name="solver_rhs4" localSheetId="0" hidden="1">Base!$H$40:$H$46</definedName>
    <definedName name="solver_rhs4" localSheetId="1" hidden="1">'Base (2)'!$H$40:$H$46</definedName>
    <definedName name="solver_rhs4" localSheetId="2" hidden="1">'Base (3)'!$H$40:$H$46</definedName>
    <definedName name="solver_rhs4" localSheetId="3" hidden="1">'Base (4)'!$H$40:$H$46</definedName>
    <definedName name="solver_rhs4" localSheetId="4" hidden="1">'Base (5)'!$M$36:$M$63</definedName>
    <definedName name="solver_rhs5" localSheetId="0" hidden="1">Base!$H$49:$H$56</definedName>
    <definedName name="solver_rhs5" localSheetId="1" hidden="1">'Base (2)'!$H$49:$H$56</definedName>
    <definedName name="solver_rhs5" localSheetId="2" hidden="1">'Base (3)'!$H$49:$H$56</definedName>
    <definedName name="solver_rhs5" localSheetId="3" hidden="1">'Base (4)'!$H$49:$H$56</definedName>
    <definedName name="solver_rhs5" localSheetId="4" hidden="1">'Base (5)'!$H$40:$H$46</definedName>
    <definedName name="solver_rhs6" localSheetId="0" hidden="1">Base!$M$36:$M$63</definedName>
    <definedName name="solver_rhs6" localSheetId="1" hidden="1">'Base (2)'!$M$36:$M$63</definedName>
    <definedName name="solver_rhs6" localSheetId="2" hidden="1">'Base (3)'!$M$36:$M$63</definedName>
    <definedName name="solver_rhs6" localSheetId="3" hidden="1">'Base (4)'!$M$36:$M$63</definedName>
    <definedName name="solver_rhs6" localSheetId="4" hidden="1">'Base (5)'!$H$49:$H$56</definedName>
    <definedName name="solver_rhs7" localSheetId="0" hidden="1">"binario"</definedName>
    <definedName name="solver_rhs7" localSheetId="1" hidden="1">'Base (2)'!$G$62</definedName>
    <definedName name="solver_rhs7" localSheetId="2" hidden="1">'Base (3)'!$G$62</definedName>
    <definedName name="solver_rhs7" localSheetId="3" hidden="1">'Base (4)'!$G$62</definedName>
    <definedName name="solver_rhs7" localSheetId="4" hidden="1">"binario"</definedName>
    <definedName name="solver_rhs8" localSheetId="0" hidden="1">"binario"</definedName>
    <definedName name="solver_rhs8" localSheetId="1" hidden="1">'Base (2)'!$Q$36</definedName>
    <definedName name="solver_rhs8" localSheetId="2" hidden="1">"binario"</definedName>
    <definedName name="solver_rhs8" localSheetId="3" hidden="1">"binario"</definedName>
    <definedName name="solver_rhs8" localSheetId="4" hidden="1">"binario"</definedName>
    <definedName name="solver_rhs9" localSheetId="0" hidden="1">Base!$G$36</definedName>
    <definedName name="solver_rhs9" localSheetId="1" hidden="1">'Base (2)'!$Q$39</definedName>
    <definedName name="solver_rhs9" localSheetId="2" hidden="1">"binario"</definedName>
    <definedName name="solver_rhs9" localSheetId="3" hidden="1">"binario"</definedName>
    <definedName name="solver_rhs9" localSheetId="4" hidden="1">'Base (5)'!$H$39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lx" localSheetId="3" hidden="1">2</definedName>
    <definedName name="solver_rlx" localSheetId="4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rsd" localSheetId="3" hidden="1">0</definedName>
    <definedName name="solver_rsd" localSheetId="4" hidden="1">0</definedName>
    <definedName name="solver_scl" localSheetId="0" hidden="1">1</definedName>
    <definedName name="solver_scl" localSheetId="1" hidden="1">1</definedName>
    <definedName name="solver_scl" localSheetId="2" hidden="1">1</definedName>
    <definedName name="solver_scl" localSheetId="3" hidden="1">1</definedName>
    <definedName name="solver_scl" localSheetId="4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ho" localSheetId="3" hidden="1">2</definedName>
    <definedName name="solver_sho" localSheetId="4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ssz" localSheetId="3" hidden="1">100</definedName>
    <definedName name="solver_ssz" localSheetId="4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im" localSheetId="3" hidden="1">2147483647</definedName>
    <definedName name="solver_tim" localSheetId="4" hidden="1">2147483647</definedName>
    <definedName name="solver_tol" localSheetId="0" hidden="1">0</definedName>
    <definedName name="solver_tol" localSheetId="1" hidden="1">0</definedName>
    <definedName name="solver_tol" localSheetId="2" hidden="1">0</definedName>
    <definedName name="solver_tol" localSheetId="3" hidden="1">0</definedName>
    <definedName name="solver_tol" localSheetId="4" hidden="1">0</definedName>
    <definedName name="solver_typ" localSheetId="0" hidden="1">2</definedName>
    <definedName name="solver_typ" localSheetId="1" hidden="1">2</definedName>
    <definedName name="solver_typ" localSheetId="2" hidden="1">2</definedName>
    <definedName name="solver_typ" localSheetId="3" hidden="1">2</definedName>
    <definedName name="solver_typ" localSheetId="4" hidden="1">2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al" localSheetId="3" hidden="1">0</definedName>
    <definedName name="solver_val" localSheetId="4" hidden="1">0</definedName>
    <definedName name="solver_ver" localSheetId="0" hidden="1">3</definedName>
    <definedName name="solver_ver" localSheetId="1" hidden="1">3</definedName>
    <definedName name="solver_ver" localSheetId="2" hidden="1">3</definedName>
    <definedName name="solver_ver" localSheetId="3" hidden="1">3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6" i="10" l="1"/>
  <c r="P36" i="9"/>
  <c r="O36" i="8"/>
  <c r="P43" i="10"/>
  <c r="P37" i="10"/>
  <c r="P38" i="10"/>
  <c r="P39" i="10"/>
  <c r="P40" i="10"/>
  <c r="P41" i="10"/>
  <c r="P42" i="10"/>
  <c r="O42" i="8"/>
  <c r="O39" i="8"/>
  <c r="K63" i="11"/>
  <c r="K62" i="11"/>
  <c r="E62" i="11"/>
  <c r="K61" i="11"/>
  <c r="K60" i="11"/>
  <c r="K59" i="11"/>
  <c r="E59" i="11"/>
  <c r="K58" i="11"/>
  <c r="K57" i="11"/>
  <c r="K56" i="11"/>
  <c r="H56" i="11"/>
  <c r="F56" i="11"/>
  <c r="K55" i="11"/>
  <c r="H55" i="11"/>
  <c r="F55" i="11"/>
  <c r="K54" i="11"/>
  <c r="H54" i="11"/>
  <c r="F54" i="11"/>
  <c r="K53" i="11"/>
  <c r="H53" i="11"/>
  <c r="F53" i="11"/>
  <c r="K52" i="11"/>
  <c r="H52" i="11"/>
  <c r="F52" i="11"/>
  <c r="K51" i="11"/>
  <c r="H51" i="11"/>
  <c r="F51" i="11"/>
  <c r="K50" i="11"/>
  <c r="H50" i="11"/>
  <c r="F50" i="11"/>
  <c r="K49" i="11"/>
  <c r="H49" i="11"/>
  <c r="F49" i="11"/>
  <c r="K48" i="11"/>
  <c r="K47" i="11"/>
  <c r="K46" i="11"/>
  <c r="F46" i="11"/>
  <c r="K45" i="11"/>
  <c r="F45" i="11"/>
  <c r="K44" i="11"/>
  <c r="F44" i="11"/>
  <c r="K43" i="11"/>
  <c r="F43" i="11"/>
  <c r="K42" i="11"/>
  <c r="F42" i="11"/>
  <c r="K41" i="11"/>
  <c r="F41" i="11"/>
  <c r="K40" i="11"/>
  <c r="F40" i="11"/>
  <c r="K39" i="11"/>
  <c r="F39" i="11"/>
  <c r="K38" i="11"/>
  <c r="K37" i="11"/>
  <c r="K36" i="11"/>
  <c r="U33" i="11"/>
  <c r="E36" i="11"/>
  <c r="K63" i="10"/>
  <c r="K62" i="10"/>
  <c r="E62" i="10"/>
  <c r="K61" i="10"/>
  <c r="K60" i="10"/>
  <c r="K59" i="10"/>
  <c r="E59" i="10"/>
  <c r="K58" i="10"/>
  <c r="K57" i="10"/>
  <c r="K56" i="10"/>
  <c r="H56" i="10"/>
  <c r="F56" i="10"/>
  <c r="K55" i="10"/>
  <c r="H55" i="10"/>
  <c r="F55" i="10"/>
  <c r="K54" i="10"/>
  <c r="H54" i="10"/>
  <c r="F54" i="10"/>
  <c r="K53" i="10"/>
  <c r="H53" i="10"/>
  <c r="F53" i="10"/>
  <c r="K52" i="10"/>
  <c r="H52" i="10"/>
  <c r="F52" i="10"/>
  <c r="K51" i="10"/>
  <c r="H51" i="10"/>
  <c r="F51" i="10"/>
  <c r="K50" i="10"/>
  <c r="H50" i="10"/>
  <c r="F50" i="10"/>
  <c r="K49" i="10"/>
  <c r="H49" i="10"/>
  <c r="F49" i="10"/>
  <c r="K48" i="10"/>
  <c r="K47" i="10"/>
  <c r="K46" i="10"/>
  <c r="F46" i="10"/>
  <c r="K45" i="10"/>
  <c r="F45" i="10"/>
  <c r="K44" i="10"/>
  <c r="F44" i="10"/>
  <c r="K43" i="10"/>
  <c r="F43" i="10"/>
  <c r="K42" i="10"/>
  <c r="F42" i="10"/>
  <c r="K41" i="10"/>
  <c r="F41" i="10"/>
  <c r="K40" i="10"/>
  <c r="F40" i="10"/>
  <c r="K39" i="10"/>
  <c r="F39" i="10"/>
  <c r="K38" i="10"/>
  <c r="K37" i="10"/>
  <c r="K36" i="10"/>
  <c r="E36" i="10"/>
  <c r="U33" i="10"/>
  <c r="K63" i="9"/>
  <c r="K62" i="9"/>
  <c r="E62" i="9"/>
  <c r="K61" i="9"/>
  <c r="K60" i="9"/>
  <c r="K59" i="9"/>
  <c r="E59" i="9"/>
  <c r="K58" i="9"/>
  <c r="K57" i="9"/>
  <c r="K56" i="9"/>
  <c r="H56" i="9"/>
  <c r="F56" i="9"/>
  <c r="K55" i="9"/>
  <c r="H55" i="9"/>
  <c r="F55" i="9"/>
  <c r="K54" i="9"/>
  <c r="H54" i="9"/>
  <c r="F54" i="9"/>
  <c r="K53" i="9"/>
  <c r="H53" i="9"/>
  <c r="F53" i="9"/>
  <c r="K52" i="9"/>
  <c r="H52" i="9"/>
  <c r="F52" i="9"/>
  <c r="K51" i="9"/>
  <c r="H51" i="9"/>
  <c r="F51" i="9"/>
  <c r="K50" i="9"/>
  <c r="H50" i="9"/>
  <c r="F50" i="9"/>
  <c r="K49" i="9"/>
  <c r="H49" i="9"/>
  <c r="F49" i="9"/>
  <c r="K48" i="9"/>
  <c r="K47" i="9"/>
  <c r="K46" i="9"/>
  <c r="F46" i="9"/>
  <c r="K45" i="9"/>
  <c r="F45" i="9"/>
  <c r="K44" i="9"/>
  <c r="F44" i="9"/>
  <c r="K43" i="9"/>
  <c r="F43" i="9"/>
  <c r="K42" i="9"/>
  <c r="F42" i="9"/>
  <c r="K41" i="9"/>
  <c r="F41" i="9"/>
  <c r="K40" i="9"/>
  <c r="F40" i="9"/>
  <c r="K39" i="9"/>
  <c r="F39" i="9"/>
  <c r="K38" i="9"/>
  <c r="K37" i="9"/>
  <c r="K36" i="9"/>
  <c r="E36" i="9"/>
  <c r="U33" i="9"/>
  <c r="K63" i="8"/>
  <c r="K62" i="8"/>
  <c r="E62" i="8"/>
  <c r="K61" i="8"/>
  <c r="K60" i="8"/>
  <c r="K59" i="8"/>
  <c r="E59" i="8"/>
  <c r="K58" i="8"/>
  <c r="K57" i="8"/>
  <c r="K56" i="8"/>
  <c r="H56" i="8"/>
  <c r="F56" i="8"/>
  <c r="K55" i="8"/>
  <c r="H55" i="8"/>
  <c r="F55" i="8"/>
  <c r="K54" i="8"/>
  <c r="H54" i="8"/>
  <c r="F54" i="8"/>
  <c r="K53" i="8"/>
  <c r="H53" i="8"/>
  <c r="F53" i="8"/>
  <c r="K52" i="8"/>
  <c r="H52" i="8"/>
  <c r="F52" i="8"/>
  <c r="K51" i="8"/>
  <c r="H51" i="8"/>
  <c r="F51" i="8"/>
  <c r="K50" i="8"/>
  <c r="H50" i="8"/>
  <c r="F50" i="8"/>
  <c r="K49" i="8"/>
  <c r="H49" i="8"/>
  <c r="F49" i="8"/>
  <c r="K48" i="8"/>
  <c r="K47" i="8"/>
  <c r="K46" i="8"/>
  <c r="F46" i="8"/>
  <c r="K45" i="8"/>
  <c r="F45" i="8"/>
  <c r="K44" i="8"/>
  <c r="F44" i="8"/>
  <c r="K43" i="8"/>
  <c r="F43" i="8"/>
  <c r="K42" i="8"/>
  <c r="F42" i="8"/>
  <c r="K41" i="8"/>
  <c r="F41" i="8"/>
  <c r="K40" i="8"/>
  <c r="F40" i="8"/>
  <c r="K39" i="8"/>
  <c r="F39" i="8"/>
  <c r="K38" i="8"/>
  <c r="K37" i="8"/>
  <c r="K36" i="8"/>
  <c r="E36" i="8"/>
  <c r="U33" i="8"/>
  <c r="K36" i="1"/>
  <c r="K63" i="1"/>
  <c r="K62" i="1"/>
  <c r="K61" i="1"/>
  <c r="K60" i="1"/>
  <c r="K59" i="1"/>
  <c r="K58" i="1"/>
  <c r="U33" i="1" s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E59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F46" i="1"/>
  <c r="F45" i="1"/>
  <c r="F44" i="1"/>
  <c r="F43" i="1"/>
  <c r="F42" i="1"/>
  <c r="F41" i="1"/>
  <c r="F40" i="1"/>
  <c r="F39" i="1"/>
  <c r="E36" i="1"/>
  <c r="E62" i="1" l="1"/>
</calcChain>
</file>

<file path=xl/sharedStrings.xml><?xml version="1.0" encoding="utf-8"?>
<sst xmlns="http://schemas.openxmlformats.org/spreadsheetml/2006/main" count="1316" uniqueCount="73">
  <si>
    <t>PULLMAN (CP)</t>
  </si>
  <si>
    <t>VINCOLI</t>
  </si>
  <si>
    <t>COSTO</t>
  </si>
  <si>
    <t>GENOVA</t>
  </si>
  <si>
    <t>MADRID</t>
  </si>
  <si>
    <t>BARCELLONA</t>
  </si>
  <si>
    <t>VIENNA</t>
  </si>
  <si>
    <t>PARIGI</t>
  </si>
  <si>
    <t>MARSIGLIA</t>
  </si>
  <si>
    <t>AMSTERDAM</t>
  </si>
  <si>
    <t>BRUXELLES</t>
  </si>
  <si>
    <t>COSTO TOT (z)</t>
  </si>
  <si>
    <t>Tempo Tot</t>
  </si>
  <si>
    <t>≤</t>
  </si>
  <si>
    <t xml:space="preserve">Massimo una tappa </t>
  </si>
  <si>
    <t>Genova</t>
  </si>
  <si>
    <t>=</t>
  </si>
  <si>
    <t>Madrid</t>
  </si>
  <si>
    <t>Barcellona</t>
  </si>
  <si>
    <t>Vienna</t>
  </si>
  <si>
    <t>Parigi</t>
  </si>
  <si>
    <t>Marsiglia</t>
  </si>
  <si>
    <t>PULLMAN (TP)</t>
  </si>
  <si>
    <t>Amsterdam</t>
  </si>
  <si>
    <t>TEMPO (minuti)</t>
  </si>
  <si>
    <t>Bruxelles</t>
  </si>
  <si>
    <t>Partenza - Arrivo</t>
  </si>
  <si>
    <t>TRENI (CT)</t>
  </si>
  <si>
    <t>Diagonali zero</t>
  </si>
  <si>
    <t>Numero città</t>
  </si>
  <si>
    <t>No cicli</t>
  </si>
  <si>
    <t>Genova-Madrid</t>
  </si>
  <si>
    <t>Genova-Barcellona</t>
  </si>
  <si>
    <t>TRENI (TT)</t>
  </si>
  <si>
    <t>Genova-Vienna</t>
  </si>
  <si>
    <t>Genova-Parigi</t>
  </si>
  <si>
    <t>Genova-Marsiglia</t>
  </si>
  <si>
    <t>Genova-Amsterdam</t>
  </si>
  <si>
    <t>Genova-Bruxelles</t>
  </si>
  <si>
    <t>Madrid-Barcellona</t>
  </si>
  <si>
    <t>Madrid-Vienna</t>
  </si>
  <si>
    <t>Madrid-Parigi</t>
  </si>
  <si>
    <t>Madrid-Marsiglia</t>
  </si>
  <si>
    <t>Madrid-Amsterdam</t>
  </si>
  <si>
    <t>Madrid-Bruxelles</t>
  </si>
  <si>
    <t>AEREI (CA)</t>
  </si>
  <si>
    <t>Barcellona-Vienna</t>
  </si>
  <si>
    <t>Barcellona-Parigi</t>
  </si>
  <si>
    <t>Barcellona-Marsiglia</t>
  </si>
  <si>
    <t>Barcellona-Amsterdam</t>
  </si>
  <si>
    <t>Barcellona-Bruxelles</t>
  </si>
  <si>
    <t>Vienna-Parigi</t>
  </si>
  <si>
    <t>Vienna-Marsiglia</t>
  </si>
  <si>
    <t>Vienna-Amsterdam</t>
  </si>
  <si>
    <t>Vienna-Bruxelles</t>
  </si>
  <si>
    <t>Parigi-Marsiglia</t>
  </si>
  <si>
    <t>Parigi-Amsterdam</t>
  </si>
  <si>
    <t>AEREI (TA)</t>
  </si>
  <si>
    <t>Parigi-Bruxelles</t>
  </si>
  <si>
    <t>Marsiglia-Amsterdam</t>
  </si>
  <si>
    <t>Marsiglia-Bruxelles</t>
  </si>
  <si>
    <t>Amsterdam-Bruxelles</t>
  </si>
  <si>
    <t>Almeno un pullman</t>
  </si>
  <si>
    <t>Almeno un treno</t>
  </si>
  <si>
    <t>Almeno un aereo</t>
  </si>
  <si>
    <t>≥</t>
  </si>
  <si>
    <t>Passaggio Obbligatorio</t>
  </si>
  <si>
    <t>Tempo Max per viaggio</t>
  </si>
  <si>
    <t>TEMPO TOT (z)</t>
  </si>
  <si>
    <t>Costo Tot</t>
  </si>
  <si>
    <r>
      <t>AEREO (a</t>
    </r>
    <r>
      <rPr>
        <b/>
        <vertAlign val="subscript"/>
        <sz val="11"/>
        <color theme="1"/>
        <rFont val="Calibri"/>
        <family val="2"/>
        <scheme val="minor"/>
      </rPr>
      <t>ij</t>
    </r>
    <r>
      <rPr>
        <b/>
        <sz val="11"/>
        <color theme="1"/>
        <rFont val="Calibri"/>
        <family val="2"/>
        <scheme val="minor"/>
      </rPr>
      <t>)</t>
    </r>
  </si>
  <si>
    <r>
      <t>TRENO (t</t>
    </r>
    <r>
      <rPr>
        <b/>
        <vertAlign val="subscript"/>
        <sz val="11"/>
        <rFont val="Calibri"/>
        <family val="2"/>
        <scheme val="minor"/>
      </rPr>
      <t>ij</t>
    </r>
    <r>
      <rPr>
        <b/>
        <sz val="11"/>
        <rFont val="Calibri"/>
        <family val="2"/>
        <scheme val="minor"/>
      </rPr>
      <t>)</t>
    </r>
  </si>
  <si>
    <r>
      <t>PULLMAN (p</t>
    </r>
    <r>
      <rPr>
        <b/>
        <vertAlign val="subscript"/>
        <sz val="11"/>
        <color theme="1"/>
        <rFont val="Calibri"/>
        <family val="2"/>
        <scheme val="minor"/>
      </rPr>
      <t>ij</t>
    </r>
    <r>
      <rPr>
        <b/>
        <sz val="11"/>
        <color theme="1"/>
        <rFont val="Calibri"/>
        <family val="2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</si>
</sst>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  <font>
      <b/>
      <vertAlign val="subscript"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AB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/>
    <xf numFmtId="0" fontId="2" fillId="2" borderId="0" xfId="0" applyFont="1" applyFill="1"/>
    <xf numFmtId="0" fontId="2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0" fillId="3" borderId="0" xfId="0" applyFill="1" applyAlignment="1">
      <alignment horizontal="center"/>
    </xf>
    <xf numFmtId="0" fontId="0" fillId="4" borderId="0" xfId="0" applyFill="1"/>
    <xf numFmtId="0" fontId="0" fillId="2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5" borderId="0" xfId="0" applyFill="1" applyAlignment="1">
      <alignment horizontal="center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4" borderId="0" xfId="0" applyFill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AE23B-28B7-481D-8D72-B2155F69053C}">
  <dimension ref="A1:AC66"/>
  <sheetViews>
    <sheetView tabSelected="1" topLeftCell="A28" zoomScale="70" zoomScaleNormal="70" workbookViewId="0">
      <selection activeCell="U21" sqref="U21"/>
    </sheetView>
  </sheetViews>
  <sheetFormatPr defaultRowHeight="15" x14ac:dyDescent="0.25"/>
  <cols>
    <col min="1" max="1" width="20.140625" bestFit="1" customWidth="1"/>
    <col min="2" max="2" width="10.28515625" bestFit="1" customWidth="1"/>
    <col min="3" max="3" width="10" bestFit="1" customWidth="1"/>
    <col min="4" max="4" width="15.28515625" bestFit="1" customWidth="1"/>
    <col min="5" max="5" width="9.28515625" bestFit="1" customWidth="1"/>
    <col min="6" max="6" width="8.28515625" bestFit="1" customWidth="1"/>
    <col min="7" max="7" width="12.7109375" bestFit="1" customWidth="1"/>
    <col min="8" max="8" width="15.28515625" bestFit="1" customWidth="1"/>
    <col min="9" max="9" width="13.28515625" bestFit="1" customWidth="1"/>
    <col min="10" max="10" width="20.7109375" customWidth="1"/>
    <col min="11" max="11" width="20.140625" bestFit="1" customWidth="1"/>
    <col min="12" max="12" width="10.28515625" bestFit="1" customWidth="1"/>
    <col min="13" max="13" width="10" bestFit="1" customWidth="1"/>
    <col min="14" max="14" width="15.28515625" bestFit="1" customWidth="1"/>
    <col min="15" max="15" width="9.28515625" bestFit="1" customWidth="1"/>
    <col min="16" max="16" width="8.28515625" bestFit="1" customWidth="1"/>
    <col min="17" max="17" width="12.7109375" bestFit="1" customWidth="1"/>
    <col min="18" max="18" width="15.28515625" bestFit="1" customWidth="1"/>
    <col min="19" max="19" width="13.28515625" bestFit="1" customWidth="1"/>
    <col min="20" max="20" width="20.7109375" customWidth="1"/>
    <col min="21" max="21" width="19.7109375" bestFit="1" customWidth="1"/>
    <col min="22" max="22" width="10.28515625" bestFit="1" customWidth="1"/>
    <col min="23" max="23" width="10" bestFit="1" customWidth="1"/>
    <col min="24" max="24" width="15.28515625" bestFit="1" customWidth="1"/>
    <col min="25" max="25" width="9.28515625" bestFit="1" customWidth="1"/>
    <col min="26" max="26" width="8.28515625" bestFit="1" customWidth="1"/>
    <col min="27" max="27" width="12.7109375" bestFit="1" customWidth="1"/>
    <col min="28" max="28" width="15.28515625" bestFit="1" customWidth="1"/>
    <col min="29" max="29" width="13.28515625" bestFit="1" customWidth="1"/>
  </cols>
  <sheetData>
    <row r="1" spans="1:29" ht="18" x14ac:dyDescent="0.35">
      <c r="A1" s="1" t="s">
        <v>0</v>
      </c>
      <c r="K1" s="1" t="s">
        <v>22</v>
      </c>
      <c r="U1" s="3" t="s">
        <v>72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9</v>
      </c>
      <c r="AC1" s="4" t="s">
        <v>10</v>
      </c>
    </row>
    <row r="2" spans="1:29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K2" s="3" t="s">
        <v>24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U2" s="6" t="s">
        <v>3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</row>
    <row r="3" spans="1:29" ht="14.45" customHeight="1" x14ac:dyDescent="0.25">
      <c r="A3" s="6" t="s">
        <v>3</v>
      </c>
      <c r="B3" s="7">
        <v>0</v>
      </c>
      <c r="C3" s="7">
        <v>61</v>
      </c>
      <c r="D3" s="7">
        <v>28</v>
      </c>
      <c r="E3" s="7">
        <v>46</v>
      </c>
      <c r="F3" s="7">
        <v>38</v>
      </c>
      <c r="G3" s="7">
        <v>17</v>
      </c>
      <c r="H3" s="7">
        <v>44</v>
      </c>
      <c r="I3" s="7">
        <v>49</v>
      </c>
      <c r="K3" s="6" t="s">
        <v>3</v>
      </c>
      <c r="L3" s="7">
        <v>0</v>
      </c>
      <c r="M3" s="7">
        <v>1280</v>
      </c>
      <c r="N3" s="7">
        <v>760</v>
      </c>
      <c r="O3" s="7">
        <v>1020</v>
      </c>
      <c r="P3" s="7">
        <v>800</v>
      </c>
      <c r="Q3" s="7">
        <v>360</v>
      </c>
      <c r="R3" s="7">
        <v>1320</v>
      </c>
      <c r="S3" s="7">
        <v>1010</v>
      </c>
      <c r="U3" s="6" t="s">
        <v>4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</row>
    <row r="4" spans="1:29" x14ac:dyDescent="0.25">
      <c r="A4" s="6" t="s">
        <v>4</v>
      </c>
      <c r="B4" s="7">
        <v>83</v>
      </c>
      <c r="C4" s="7">
        <v>0</v>
      </c>
      <c r="D4" s="7">
        <v>35</v>
      </c>
      <c r="E4" s="7">
        <v>104</v>
      </c>
      <c r="F4" s="7">
        <v>39</v>
      </c>
      <c r="G4" s="7">
        <v>40</v>
      </c>
      <c r="H4" s="7">
        <v>79</v>
      </c>
      <c r="I4" s="7">
        <v>49</v>
      </c>
      <c r="K4" s="6" t="s">
        <v>4</v>
      </c>
      <c r="L4" s="7">
        <v>1440</v>
      </c>
      <c r="M4" s="7">
        <v>0</v>
      </c>
      <c r="N4" s="7">
        <v>480</v>
      </c>
      <c r="O4" s="7">
        <v>2400</v>
      </c>
      <c r="P4" s="7">
        <v>1020</v>
      </c>
      <c r="Q4" s="7">
        <v>865</v>
      </c>
      <c r="R4" s="7">
        <v>1695</v>
      </c>
      <c r="S4" s="7">
        <v>1345</v>
      </c>
      <c r="U4" s="6" t="s">
        <v>5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</row>
    <row r="5" spans="1:29" x14ac:dyDescent="0.25">
      <c r="A5" s="6" t="s">
        <v>5</v>
      </c>
      <c r="B5" s="7">
        <v>28</v>
      </c>
      <c r="C5" s="7">
        <v>39</v>
      </c>
      <c r="D5" s="7">
        <v>0</v>
      </c>
      <c r="E5" s="7">
        <v>87</v>
      </c>
      <c r="F5" s="7">
        <v>40</v>
      </c>
      <c r="G5" s="7">
        <v>15</v>
      </c>
      <c r="H5" s="7">
        <v>80</v>
      </c>
      <c r="I5" s="7">
        <v>50</v>
      </c>
      <c r="K5" s="6" t="s">
        <v>5</v>
      </c>
      <c r="L5" s="7">
        <v>805</v>
      </c>
      <c r="M5" s="7">
        <v>480</v>
      </c>
      <c r="N5" s="7">
        <v>0</v>
      </c>
      <c r="O5" s="7">
        <v>1860</v>
      </c>
      <c r="P5" s="7">
        <v>735</v>
      </c>
      <c r="Q5" s="7">
        <v>435</v>
      </c>
      <c r="R5" s="7">
        <v>1305</v>
      </c>
      <c r="S5" s="7">
        <v>1155</v>
      </c>
      <c r="U5" s="6" t="s">
        <v>6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</row>
    <row r="6" spans="1:29" x14ac:dyDescent="0.25">
      <c r="A6" s="6" t="s">
        <v>6</v>
      </c>
      <c r="B6" s="7">
        <v>58</v>
      </c>
      <c r="C6" s="7">
        <v>104</v>
      </c>
      <c r="D6" s="7">
        <v>105</v>
      </c>
      <c r="E6" s="7">
        <v>0</v>
      </c>
      <c r="F6" s="7">
        <v>49</v>
      </c>
      <c r="G6" s="7">
        <v>65</v>
      </c>
      <c r="H6" s="7">
        <v>30</v>
      </c>
      <c r="I6" s="7">
        <v>35</v>
      </c>
      <c r="K6" s="6" t="s">
        <v>6</v>
      </c>
      <c r="L6" s="7">
        <v>1265</v>
      </c>
      <c r="M6" s="7">
        <v>2340</v>
      </c>
      <c r="N6" s="7">
        <v>2220</v>
      </c>
      <c r="O6" s="7">
        <v>0</v>
      </c>
      <c r="P6" s="7">
        <v>1155</v>
      </c>
      <c r="Q6" s="7">
        <v>1560</v>
      </c>
      <c r="R6" s="7">
        <v>995</v>
      </c>
      <c r="S6" s="7">
        <v>1125</v>
      </c>
      <c r="U6" s="6" t="s">
        <v>7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</row>
    <row r="7" spans="1:29" x14ac:dyDescent="0.25">
      <c r="A7" s="6" t="s">
        <v>7</v>
      </c>
      <c r="B7" s="7">
        <v>38</v>
      </c>
      <c r="C7" s="7">
        <v>39</v>
      </c>
      <c r="D7" s="7">
        <v>40</v>
      </c>
      <c r="E7" s="7">
        <v>49</v>
      </c>
      <c r="F7" s="7">
        <v>0</v>
      </c>
      <c r="G7" s="7">
        <v>29</v>
      </c>
      <c r="H7" s="7">
        <v>25</v>
      </c>
      <c r="I7" s="7">
        <v>10</v>
      </c>
      <c r="K7" s="6" t="s">
        <v>7</v>
      </c>
      <c r="L7" s="7">
        <v>900</v>
      </c>
      <c r="M7" s="7">
        <v>980</v>
      </c>
      <c r="N7" s="7">
        <v>740</v>
      </c>
      <c r="O7" s="7">
        <v>1170</v>
      </c>
      <c r="P7" s="7">
        <v>0</v>
      </c>
      <c r="Q7" s="7">
        <v>600</v>
      </c>
      <c r="R7" s="7">
        <v>525</v>
      </c>
      <c r="S7" s="7">
        <v>255</v>
      </c>
      <c r="U7" s="6" t="s">
        <v>8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</row>
    <row r="8" spans="1:29" x14ac:dyDescent="0.25">
      <c r="A8" s="6" t="s">
        <v>8</v>
      </c>
      <c r="B8" s="7">
        <v>24</v>
      </c>
      <c r="C8" s="7">
        <v>52</v>
      </c>
      <c r="D8" s="7">
        <v>15</v>
      </c>
      <c r="E8" s="7">
        <v>103</v>
      </c>
      <c r="F8" s="7">
        <v>29</v>
      </c>
      <c r="G8" s="7">
        <v>0</v>
      </c>
      <c r="H8" s="7">
        <v>69</v>
      </c>
      <c r="I8" s="7">
        <v>49</v>
      </c>
      <c r="K8" s="6" t="s">
        <v>8</v>
      </c>
      <c r="L8" s="7">
        <v>335</v>
      </c>
      <c r="M8" s="7">
        <v>1125</v>
      </c>
      <c r="N8" s="7">
        <v>410</v>
      </c>
      <c r="O8" s="7">
        <v>1385</v>
      </c>
      <c r="P8" s="7">
        <v>620</v>
      </c>
      <c r="Q8" s="7">
        <v>0</v>
      </c>
      <c r="R8" s="7">
        <v>1280</v>
      </c>
      <c r="S8" s="7">
        <v>980</v>
      </c>
      <c r="U8" s="6" t="s">
        <v>9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 spans="1:29" x14ac:dyDescent="0.25">
      <c r="A9" s="6" t="s">
        <v>9</v>
      </c>
      <c r="B9" s="7">
        <v>49</v>
      </c>
      <c r="C9" s="7">
        <v>79</v>
      </c>
      <c r="D9" s="7">
        <v>80</v>
      </c>
      <c r="E9" s="7">
        <v>46</v>
      </c>
      <c r="F9" s="7">
        <v>40</v>
      </c>
      <c r="G9" s="7">
        <v>69</v>
      </c>
      <c r="H9" s="7">
        <v>0</v>
      </c>
      <c r="I9" s="7">
        <v>10</v>
      </c>
      <c r="K9" s="6" t="s">
        <v>9</v>
      </c>
      <c r="L9" s="7">
        <v>1260</v>
      </c>
      <c r="M9" s="7">
        <v>1560</v>
      </c>
      <c r="N9" s="7">
        <v>1200</v>
      </c>
      <c r="O9" s="7">
        <v>1020</v>
      </c>
      <c r="P9" s="7">
        <v>420</v>
      </c>
      <c r="Q9" s="7">
        <v>1140</v>
      </c>
      <c r="R9" s="7">
        <v>0</v>
      </c>
      <c r="S9" s="7">
        <v>180</v>
      </c>
      <c r="U9" s="6" t="s">
        <v>10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</row>
    <row r="10" spans="1:29" x14ac:dyDescent="0.25">
      <c r="A10" s="6" t="s">
        <v>10</v>
      </c>
      <c r="B10" s="7">
        <v>49</v>
      </c>
      <c r="C10" s="7">
        <v>49</v>
      </c>
      <c r="D10" s="7">
        <v>60</v>
      </c>
      <c r="E10" s="7">
        <v>49</v>
      </c>
      <c r="F10" s="7">
        <v>10</v>
      </c>
      <c r="G10" s="7">
        <v>39</v>
      </c>
      <c r="H10" s="7">
        <v>10</v>
      </c>
      <c r="I10" s="7">
        <v>0</v>
      </c>
      <c r="K10" s="6" t="s">
        <v>10</v>
      </c>
      <c r="L10" s="7">
        <v>1000</v>
      </c>
      <c r="M10" s="7">
        <v>1320</v>
      </c>
      <c r="N10" s="7">
        <v>1080</v>
      </c>
      <c r="O10" s="7">
        <v>1050</v>
      </c>
      <c r="P10" s="7">
        <v>240</v>
      </c>
      <c r="Q10" s="7">
        <v>890</v>
      </c>
      <c r="R10" s="7">
        <v>180</v>
      </c>
      <c r="S10" s="7">
        <v>0</v>
      </c>
      <c r="U10" s="1"/>
    </row>
    <row r="11" spans="1:29" ht="18" x14ac:dyDescent="0.35">
      <c r="T11" s="11"/>
      <c r="U11" s="5" t="s">
        <v>71</v>
      </c>
      <c r="V11" s="4" t="s">
        <v>3</v>
      </c>
      <c r="W11" s="4" t="s">
        <v>4</v>
      </c>
      <c r="X11" s="4" t="s">
        <v>5</v>
      </c>
      <c r="Y11" s="4" t="s">
        <v>6</v>
      </c>
      <c r="Z11" s="4" t="s">
        <v>7</v>
      </c>
      <c r="AA11" s="4" t="s">
        <v>8</v>
      </c>
      <c r="AB11" s="4" t="s">
        <v>9</v>
      </c>
      <c r="AC11" s="4" t="s">
        <v>10</v>
      </c>
    </row>
    <row r="12" spans="1:29" x14ac:dyDescent="0.25">
      <c r="A12" s="1" t="s">
        <v>45</v>
      </c>
      <c r="K12" s="1" t="s">
        <v>57</v>
      </c>
      <c r="T12" s="11"/>
      <c r="U12" s="6" t="s">
        <v>3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</row>
    <row r="13" spans="1:29" x14ac:dyDescent="0.25">
      <c r="A13" s="5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K13" s="3" t="s">
        <v>24</v>
      </c>
      <c r="L13" s="4" t="s">
        <v>3</v>
      </c>
      <c r="M13" s="4" t="s">
        <v>4</v>
      </c>
      <c r="N13" s="4" t="s">
        <v>5</v>
      </c>
      <c r="O13" s="4" t="s">
        <v>6</v>
      </c>
      <c r="P13" s="4" t="s">
        <v>7</v>
      </c>
      <c r="Q13" s="4" t="s">
        <v>8</v>
      </c>
      <c r="R13" s="4" t="s">
        <v>9</v>
      </c>
      <c r="S13" s="4" t="s">
        <v>10</v>
      </c>
      <c r="T13" s="11"/>
      <c r="U13" s="6" t="s">
        <v>4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</row>
    <row r="14" spans="1:29" x14ac:dyDescent="0.25">
      <c r="A14" s="6" t="s">
        <v>3</v>
      </c>
      <c r="B14" s="7">
        <v>0</v>
      </c>
      <c r="C14" s="7">
        <v>73</v>
      </c>
      <c r="D14" s="7">
        <v>64</v>
      </c>
      <c r="E14" s="7">
        <v>81</v>
      </c>
      <c r="F14" s="7">
        <v>93</v>
      </c>
      <c r="G14" s="7">
        <v>106</v>
      </c>
      <c r="H14" s="7">
        <v>65</v>
      </c>
      <c r="I14" s="7">
        <v>88</v>
      </c>
      <c r="K14" s="6" t="s">
        <v>3</v>
      </c>
      <c r="L14" s="7">
        <v>0</v>
      </c>
      <c r="M14" s="7">
        <v>73</v>
      </c>
      <c r="N14" s="7">
        <v>64</v>
      </c>
      <c r="O14" s="7">
        <v>81</v>
      </c>
      <c r="P14" s="7">
        <v>390</v>
      </c>
      <c r="Q14" s="7">
        <v>320</v>
      </c>
      <c r="R14" s="7">
        <v>345</v>
      </c>
      <c r="S14" s="7">
        <v>370</v>
      </c>
      <c r="U14" s="6" t="s">
        <v>5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</row>
    <row r="15" spans="1:29" x14ac:dyDescent="0.25">
      <c r="A15" s="6" t="s">
        <v>4</v>
      </c>
      <c r="B15" s="7">
        <v>76</v>
      </c>
      <c r="C15" s="7">
        <v>0</v>
      </c>
      <c r="D15" s="7">
        <v>25</v>
      </c>
      <c r="E15" s="7">
        <v>37</v>
      </c>
      <c r="F15" s="7">
        <v>20</v>
      </c>
      <c r="G15" s="7">
        <v>26</v>
      </c>
      <c r="H15" s="7">
        <v>64</v>
      </c>
      <c r="I15" s="7">
        <v>20</v>
      </c>
      <c r="K15" s="6" t="s">
        <v>4</v>
      </c>
      <c r="L15" s="7">
        <v>410</v>
      </c>
      <c r="M15" s="7">
        <v>0</v>
      </c>
      <c r="N15" s="7">
        <v>75</v>
      </c>
      <c r="O15" s="7">
        <v>175</v>
      </c>
      <c r="P15" s="7">
        <v>130</v>
      </c>
      <c r="Q15" s="7">
        <v>105</v>
      </c>
      <c r="R15" s="7">
        <v>215</v>
      </c>
      <c r="S15" s="7">
        <v>200</v>
      </c>
      <c r="U15" s="6" t="s">
        <v>6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</row>
    <row r="16" spans="1:29" x14ac:dyDescent="0.25">
      <c r="A16" s="6" t="s">
        <v>5</v>
      </c>
      <c r="B16" s="7">
        <v>65</v>
      </c>
      <c r="C16" s="7">
        <v>39</v>
      </c>
      <c r="D16" s="7">
        <v>0</v>
      </c>
      <c r="E16" s="7">
        <v>29</v>
      </c>
      <c r="F16" s="7">
        <v>21</v>
      </c>
      <c r="G16" s="7">
        <v>23</v>
      </c>
      <c r="H16" s="7">
        <v>33</v>
      </c>
      <c r="I16" s="7">
        <v>17</v>
      </c>
      <c r="K16" s="6" t="s">
        <v>5</v>
      </c>
      <c r="L16" s="7">
        <v>355</v>
      </c>
      <c r="M16" s="7">
        <v>80</v>
      </c>
      <c r="N16" s="7">
        <v>0</v>
      </c>
      <c r="O16" s="7">
        <v>145</v>
      </c>
      <c r="P16" s="7">
        <v>120</v>
      </c>
      <c r="Q16" s="7">
        <v>65</v>
      </c>
      <c r="R16" s="7">
        <v>150</v>
      </c>
      <c r="S16" s="7">
        <v>145</v>
      </c>
      <c r="U16" s="6" t="s">
        <v>7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</row>
    <row r="17" spans="1:29" x14ac:dyDescent="0.25">
      <c r="A17" s="6" t="s">
        <v>6</v>
      </c>
      <c r="B17" s="7">
        <v>104</v>
      </c>
      <c r="C17" s="7">
        <v>44</v>
      </c>
      <c r="D17" s="7">
        <v>27</v>
      </c>
      <c r="E17" s="7">
        <v>0</v>
      </c>
      <c r="F17" s="7">
        <v>34</v>
      </c>
      <c r="G17" s="7">
        <v>90</v>
      </c>
      <c r="H17" s="7">
        <v>99</v>
      </c>
      <c r="I17" s="7">
        <v>25</v>
      </c>
      <c r="K17" s="6" t="s">
        <v>6</v>
      </c>
      <c r="L17" s="7">
        <v>395</v>
      </c>
      <c r="M17" s="7">
        <v>190</v>
      </c>
      <c r="N17" s="7">
        <v>140</v>
      </c>
      <c r="O17" s="7">
        <v>0</v>
      </c>
      <c r="P17" s="7">
        <v>120</v>
      </c>
      <c r="Q17" s="7">
        <v>365</v>
      </c>
      <c r="R17" s="7">
        <v>115</v>
      </c>
      <c r="S17" s="7">
        <v>105</v>
      </c>
      <c r="U17" s="6" t="s">
        <v>8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 spans="1:29" x14ac:dyDescent="0.25">
      <c r="A18" s="6" t="s">
        <v>7</v>
      </c>
      <c r="B18" s="7">
        <v>91</v>
      </c>
      <c r="C18" s="7">
        <v>29</v>
      </c>
      <c r="D18" s="7">
        <v>18</v>
      </c>
      <c r="E18" s="7">
        <v>22</v>
      </c>
      <c r="F18" s="7">
        <v>0</v>
      </c>
      <c r="G18" s="7">
        <v>51</v>
      </c>
      <c r="H18" s="7">
        <v>39</v>
      </c>
      <c r="I18" s="7">
        <v>114</v>
      </c>
      <c r="K18" s="6" t="s">
        <v>7</v>
      </c>
      <c r="L18" s="7">
        <v>240</v>
      </c>
      <c r="M18" s="7">
        <v>140</v>
      </c>
      <c r="N18" s="7">
        <v>105</v>
      </c>
      <c r="O18" s="7">
        <v>115</v>
      </c>
      <c r="P18" s="7">
        <v>0</v>
      </c>
      <c r="Q18" s="7">
        <v>80</v>
      </c>
      <c r="R18" s="7">
        <v>75</v>
      </c>
      <c r="S18" s="7">
        <v>55</v>
      </c>
      <c r="U18" s="6" t="s">
        <v>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</row>
    <row r="19" spans="1:29" x14ac:dyDescent="0.25">
      <c r="A19" s="6" t="s">
        <v>8</v>
      </c>
      <c r="B19" s="7">
        <v>89</v>
      </c>
      <c r="C19" s="7">
        <v>48</v>
      </c>
      <c r="D19" s="7">
        <v>25</v>
      </c>
      <c r="E19" s="7">
        <v>88</v>
      </c>
      <c r="F19" s="7">
        <v>50</v>
      </c>
      <c r="G19" s="7">
        <v>0</v>
      </c>
      <c r="H19" s="7">
        <v>126</v>
      </c>
      <c r="I19" s="7">
        <v>28</v>
      </c>
      <c r="K19" s="6" t="s">
        <v>8</v>
      </c>
      <c r="L19" s="7">
        <v>390</v>
      </c>
      <c r="M19" s="7">
        <v>90</v>
      </c>
      <c r="N19" s="7">
        <v>65</v>
      </c>
      <c r="O19" s="7">
        <v>320</v>
      </c>
      <c r="P19" s="7">
        <v>90</v>
      </c>
      <c r="Q19" s="7">
        <v>0</v>
      </c>
      <c r="R19" s="7">
        <v>130</v>
      </c>
      <c r="S19" s="7">
        <v>110</v>
      </c>
      <c r="U19" s="6" t="s">
        <v>10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</row>
    <row r="20" spans="1:29" x14ac:dyDescent="0.25">
      <c r="A20" s="6" t="s">
        <v>9</v>
      </c>
      <c r="B20" s="7">
        <v>146</v>
      </c>
      <c r="C20" s="7">
        <v>60</v>
      </c>
      <c r="D20" s="7">
        <v>58</v>
      </c>
      <c r="E20" s="7">
        <v>116</v>
      </c>
      <c r="F20" s="7">
        <v>59</v>
      </c>
      <c r="G20" s="7">
        <v>133</v>
      </c>
      <c r="H20" s="7">
        <v>0</v>
      </c>
      <c r="I20" s="7">
        <v>147</v>
      </c>
      <c r="K20" s="6" t="s">
        <v>9</v>
      </c>
      <c r="L20" s="7">
        <v>150</v>
      </c>
      <c r="M20" s="7">
        <v>160</v>
      </c>
      <c r="N20" s="7">
        <v>135</v>
      </c>
      <c r="O20" s="7">
        <v>105</v>
      </c>
      <c r="P20" s="7">
        <v>80</v>
      </c>
      <c r="Q20" s="7">
        <v>115</v>
      </c>
      <c r="R20" s="7">
        <v>0</v>
      </c>
      <c r="S20" s="7">
        <v>45</v>
      </c>
    </row>
    <row r="21" spans="1:29" ht="18" x14ac:dyDescent="0.35">
      <c r="A21" s="6" t="s">
        <v>10</v>
      </c>
      <c r="B21" s="7">
        <v>73</v>
      </c>
      <c r="C21" s="7">
        <v>26</v>
      </c>
      <c r="D21" s="7">
        <v>27</v>
      </c>
      <c r="E21" s="7">
        <v>19</v>
      </c>
      <c r="F21" s="7">
        <v>217</v>
      </c>
      <c r="G21" s="7">
        <v>21</v>
      </c>
      <c r="H21" s="7">
        <v>148</v>
      </c>
      <c r="I21" s="7">
        <v>0</v>
      </c>
      <c r="K21" s="6" t="s">
        <v>10</v>
      </c>
      <c r="L21" s="7">
        <v>260</v>
      </c>
      <c r="M21" s="7">
        <v>140</v>
      </c>
      <c r="N21" s="7">
        <v>120</v>
      </c>
      <c r="O21" s="7">
        <v>1.45</v>
      </c>
      <c r="P21" s="7">
        <v>60</v>
      </c>
      <c r="Q21" s="7">
        <v>105</v>
      </c>
      <c r="R21" s="7">
        <v>55</v>
      </c>
      <c r="S21" s="7">
        <v>0</v>
      </c>
      <c r="U21" s="3" t="s">
        <v>70</v>
      </c>
      <c r="V21" s="4" t="s">
        <v>3</v>
      </c>
      <c r="W21" s="4" t="s">
        <v>4</v>
      </c>
      <c r="X21" s="4" t="s">
        <v>5</v>
      </c>
      <c r="Y21" s="4" t="s">
        <v>6</v>
      </c>
      <c r="Z21" s="4" t="s">
        <v>7</v>
      </c>
      <c r="AA21" s="4" t="s">
        <v>8</v>
      </c>
      <c r="AB21" s="4" t="s">
        <v>9</v>
      </c>
      <c r="AC21" s="4" t="s">
        <v>10</v>
      </c>
    </row>
    <row r="22" spans="1:29" x14ac:dyDescent="0.25">
      <c r="T22" s="11"/>
      <c r="U22" s="6" t="s">
        <v>3</v>
      </c>
      <c r="V22" s="13">
        <v>0</v>
      </c>
      <c r="W22" s="13">
        <v>0</v>
      </c>
      <c r="X22" s="13">
        <v>1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</row>
    <row r="23" spans="1:29" x14ac:dyDescent="0.25">
      <c r="A23" s="1" t="s">
        <v>27</v>
      </c>
      <c r="K23" s="1" t="s">
        <v>33</v>
      </c>
      <c r="T23" s="11"/>
      <c r="U23" s="6" t="s">
        <v>4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1</v>
      </c>
      <c r="AB23" s="13">
        <v>0</v>
      </c>
      <c r="AC23" s="13">
        <v>0</v>
      </c>
    </row>
    <row r="24" spans="1:29" x14ac:dyDescent="0.25">
      <c r="A24" s="3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10</v>
      </c>
      <c r="K24" s="3" t="s">
        <v>24</v>
      </c>
      <c r="L24" s="4" t="s">
        <v>3</v>
      </c>
      <c r="M24" s="4" t="s">
        <v>4</v>
      </c>
      <c r="N24" s="4" t="s">
        <v>5</v>
      </c>
      <c r="O24" s="4" t="s">
        <v>6</v>
      </c>
      <c r="P24" s="4" t="s">
        <v>7</v>
      </c>
      <c r="Q24" s="4" t="s">
        <v>8</v>
      </c>
      <c r="R24" s="4" t="s">
        <v>9</v>
      </c>
      <c r="S24" s="4" t="s">
        <v>10</v>
      </c>
      <c r="T24" s="11"/>
      <c r="U24" s="6" t="s">
        <v>5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</v>
      </c>
    </row>
    <row r="25" spans="1:29" x14ac:dyDescent="0.25">
      <c r="A25" s="6" t="s">
        <v>3</v>
      </c>
      <c r="B25" s="7">
        <v>0</v>
      </c>
      <c r="C25" s="7">
        <v>104</v>
      </c>
      <c r="D25" s="7">
        <v>82.25</v>
      </c>
      <c r="E25" s="7">
        <v>65.790000000000006</v>
      </c>
      <c r="F25" s="7">
        <v>79.900000000000006</v>
      </c>
      <c r="G25" s="7">
        <v>23.09</v>
      </c>
      <c r="H25" s="7">
        <v>93.8</v>
      </c>
      <c r="I25" s="7">
        <v>90.9</v>
      </c>
      <c r="K25" s="6" t="s">
        <v>3</v>
      </c>
      <c r="L25" s="7">
        <v>0</v>
      </c>
      <c r="M25" s="7">
        <v>982</v>
      </c>
      <c r="N25" s="7">
        <v>774</v>
      </c>
      <c r="O25" s="7">
        <v>767</v>
      </c>
      <c r="P25" s="7">
        <v>624</v>
      </c>
      <c r="Q25" s="7">
        <v>492</v>
      </c>
      <c r="R25" s="7">
        <v>851</v>
      </c>
      <c r="S25" s="7">
        <v>710</v>
      </c>
      <c r="U25" s="6" t="s">
        <v>6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</row>
    <row r="26" spans="1:29" x14ac:dyDescent="0.25">
      <c r="A26" s="6" t="s">
        <v>4</v>
      </c>
      <c r="B26" s="7">
        <v>105</v>
      </c>
      <c r="C26" s="7">
        <v>0</v>
      </c>
      <c r="D26" s="7">
        <v>18</v>
      </c>
      <c r="E26" s="7">
        <v>179.13</v>
      </c>
      <c r="F26" s="7">
        <v>94</v>
      </c>
      <c r="G26" s="7">
        <v>92.7</v>
      </c>
      <c r="H26" s="7">
        <v>212</v>
      </c>
      <c r="I26" s="7">
        <v>177</v>
      </c>
      <c r="K26" s="6" t="s">
        <v>4</v>
      </c>
      <c r="L26" s="7">
        <v>1049</v>
      </c>
      <c r="M26" s="7">
        <v>0</v>
      </c>
      <c r="N26" s="7">
        <v>165</v>
      </c>
      <c r="O26" s="7">
        <v>1482</v>
      </c>
      <c r="P26" s="7">
        <v>676</v>
      </c>
      <c r="Q26" s="7">
        <v>606</v>
      </c>
      <c r="R26" s="7">
        <v>879</v>
      </c>
      <c r="S26" s="7">
        <v>762</v>
      </c>
      <c r="U26" s="6" t="s">
        <v>7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</row>
    <row r="27" spans="1:29" x14ac:dyDescent="0.25">
      <c r="A27" s="6" t="s">
        <v>5</v>
      </c>
      <c r="B27" s="7">
        <v>61</v>
      </c>
      <c r="C27" s="7">
        <v>15</v>
      </c>
      <c r="D27" s="7">
        <v>0</v>
      </c>
      <c r="E27" s="7">
        <v>121.88</v>
      </c>
      <c r="F27" s="7">
        <v>69</v>
      </c>
      <c r="G27" s="7">
        <v>24.69</v>
      </c>
      <c r="H27" s="7">
        <v>103.99</v>
      </c>
      <c r="I27" s="7">
        <v>158</v>
      </c>
      <c r="K27" s="6" t="s">
        <v>5</v>
      </c>
      <c r="L27" s="7">
        <v>845</v>
      </c>
      <c r="M27" s="7">
        <v>150</v>
      </c>
      <c r="N27" s="7">
        <v>0</v>
      </c>
      <c r="O27" s="7">
        <v>1632</v>
      </c>
      <c r="P27" s="7">
        <v>409</v>
      </c>
      <c r="Q27" s="7">
        <v>516</v>
      </c>
      <c r="R27" s="7">
        <v>946</v>
      </c>
      <c r="S27" s="7">
        <v>554</v>
      </c>
      <c r="U27" s="6" t="s">
        <v>8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</row>
    <row r="28" spans="1:29" x14ac:dyDescent="0.25">
      <c r="A28" s="6" t="s">
        <v>6</v>
      </c>
      <c r="B28" s="7">
        <v>67.3</v>
      </c>
      <c r="C28" s="7">
        <v>148.9</v>
      </c>
      <c r="D28" s="7">
        <v>157.9</v>
      </c>
      <c r="E28" s="7">
        <v>0</v>
      </c>
      <c r="F28" s="7">
        <v>76.900000000000006</v>
      </c>
      <c r="G28" s="7">
        <v>98.9</v>
      </c>
      <c r="H28" s="7">
        <v>51.89</v>
      </c>
      <c r="I28" s="7">
        <v>99.9</v>
      </c>
      <c r="K28" s="6" t="s">
        <v>6</v>
      </c>
      <c r="L28" s="7">
        <v>855</v>
      </c>
      <c r="M28" s="7">
        <v>1665</v>
      </c>
      <c r="N28" s="7">
        <v>1497</v>
      </c>
      <c r="O28" s="7">
        <v>0</v>
      </c>
      <c r="P28" s="7">
        <v>638</v>
      </c>
      <c r="Q28" s="7">
        <v>1253</v>
      </c>
      <c r="R28" s="7">
        <v>741</v>
      </c>
      <c r="S28" s="7">
        <v>622</v>
      </c>
      <c r="U28" s="6" t="s">
        <v>9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</row>
    <row r="29" spans="1:29" x14ac:dyDescent="0.25">
      <c r="A29" s="6" t="s">
        <v>7</v>
      </c>
      <c r="B29" s="7">
        <v>61.9</v>
      </c>
      <c r="C29" s="7">
        <v>67.599999999999994</v>
      </c>
      <c r="D29" s="7">
        <v>106</v>
      </c>
      <c r="E29" s="7">
        <v>63.89</v>
      </c>
      <c r="F29" s="7">
        <v>0</v>
      </c>
      <c r="G29" s="7">
        <v>19</v>
      </c>
      <c r="H29" s="7">
        <v>48</v>
      </c>
      <c r="I29" s="7">
        <v>29</v>
      </c>
      <c r="K29" s="6" t="s">
        <v>7</v>
      </c>
      <c r="L29" s="7">
        <v>590</v>
      </c>
      <c r="M29" s="7">
        <v>744</v>
      </c>
      <c r="N29" s="7">
        <v>416</v>
      </c>
      <c r="O29" s="7">
        <v>627</v>
      </c>
      <c r="P29" s="7">
        <v>0</v>
      </c>
      <c r="Q29" s="7">
        <v>203</v>
      </c>
      <c r="R29" s="7">
        <v>199</v>
      </c>
      <c r="S29" s="7">
        <v>82</v>
      </c>
      <c r="U29" s="6" t="s">
        <v>10</v>
      </c>
      <c r="V29" s="13">
        <v>0</v>
      </c>
      <c r="W29" s="13">
        <v>1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</row>
    <row r="30" spans="1:29" x14ac:dyDescent="0.25">
      <c r="A30" s="6" t="s">
        <v>8</v>
      </c>
      <c r="B30" s="7">
        <v>28.19</v>
      </c>
      <c r="C30" s="7">
        <v>115.5</v>
      </c>
      <c r="D30" s="7">
        <v>58</v>
      </c>
      <c r="E30" s="7">
        <v>101.89</v>
      </c>
      <c r="F30" s="7">
        <v>29</v>
      </c>
      <c r="G30" s="7">
        <v>0</v>
      </c>
      <c r="H30" s="7">
        <v>89</v>
      </c>
      <c r="I30" s="7">
        <v>20.99</v>
      </c>
      <c r="K30" s="6" t="s">
        <v>8</v>
      </c>
      <c r="L30" s="7">
        <v>492</v>
      </c>
      <c r="M30" s="7">
        <v>526</v>
      </c>
      <c r="N30" s="7">
        <v>358</v>
      </c>
      <c r="O30" s="7">
        <v>1307</v>
      </c>
      <c r="P30" s="7">
        <v>206</v>
      </c>
      <c r="Q30" s="7">
        <v>0</v>
      </c>
      <c r="R30" s="7">
        <v>460</v>
      </c>
      <c r="S30" s="7">
        <v>488</v>
      </c>
    </row>
    <row r="31" spans="1:29" x14ac:dyDescent="0.25">
      <c r="A31" s="6" t="s">
        <v>9</v>
      </c>
      <c r="B31" s="7">
        <v>120.8</v>
      </c>
      <c r="C31" s="7">
        <v>165.99</v>
      </c>
      <c r="D31" s="7">
        <v>147</v>
      </c>
      <c r="E31" s="7">
        <v>51.89</v>
      </c>
      <c r="F31" s="7">
        <v>35</v>
      </c>
      <c r="G31" s="7">
        <v>84</v>
      </c>
      <c r="H31" s="7">
        <v>0</v>
      </c>
      <c r="I31" s="7">
        <v>29</v>
      </c>
      <c r="K31" s="6" t="s">
        <v>9</v>
      </c>
      <c r="L31" s="7">
        <v>816</v>
      </c>
      <c r="M31" s="7">
        <v>1237</v>
      </c>
      <c r="N31" s="7">
        <v>670</v>
      </c>
      <c r="O31" s="7">
        <v>792</v>
      </c>
      <c r="P31" s="7">
        <v>200</v>
      </c>
      <c r="Q31" s="7">
        <v>461</v>
      </c>
      <c r="R31" s="7">
        <v>0</v>
      </c>
      <c r="S31" s="7">
        <v>113</v>
      </c>
    </row>
    <row r="32" spans="1:29" x14ac:dyDescent="0.25">
      <c r="A32" s="6" t="s">
        <v>10</v>
      </c>
      <c r="B32" s="7">
        <v>80.900000000000006</v>
      </c>
      <c r="C32" s="7">
        <v>160</v>
      </c>
      <c r="D32" s="7">
        <v>135</v>
      </c>
      <c r="E32" s="7">
        <v>79.900000000000006</v>
      </c>
      <c r="F32" s="7">
        <v>29</v>
      </c>
      <c r="G32" s="7">
        <v>70</v>
      </c>
      <c r="H32" s="7">
        <v>29</v>
      </c>
      <c r="I32" s="7">
        <v>0</v>
      </c>
      <c r="K32" s="6" t="s">
        <v>10</v>
      </c>
      <c r="L32" s="7">
        <v>648</v>
      </c>
      <c r="M32" s="7">
        <v>807</v>
      </c>
      <c r="N32" s="7">
        <v>591</v>
      </c>
      <c r="O32" s="7">
        <v>624</v>
      </c>
      <c r="P32" s="7">
        <v>83</v>
      </c>
      <c r="Q32" s="7">
        <v>340</v>
      </c>
      <c r="R32" s="7">
        <v>112</v>
      </c>
      <c r="S32" s="7">
        <v>0</v>
      </c>
      <c r="U32" s="5" t="s">
        <v>11</v>
      </c>
    </row>
    <row r="33" spans="4:21" x14ac:dyDescent="0.25">
      <c r="U33" s="8">
        <f>SUMPRODUCT(B3:I10,V2:AC9)+SUMPRODUCT(B25:I32,V12:AC19)+SUMPRODUCT(B14:I21,V22:AC29)</f>
        <v>157</v>
      </c>
    </row>
    <row r="35" spans="4:21" x14ac:dyDescent="0.25">
      <c r="D35" s="2" t="s">
        <v>1</v>
      </c>
      <c r="E35" s="3" t="s">
        <v>12</v>
      </c>
      <c r="J35" s="3" t="s">
        <v>30</v>
      </c>
    </row>
    <row r="36" spans="4:21" x14ac:dyDescent="0.25">
      <c r="E36" s="9">
        <f>SUMPRODUCT(L3:S10,V2:AC9)+SUMPRODUCT(V12:AC19,L25:S32)+SUMPRODUCT(L14:S21,V22:AC29)</f>
        <v>789</v>
      </c>
      <c r="F36" s="10" t="s">
        <v>13</v>
      </c>
      <c r="G36" s="7">
        <v>800</v>
      </c>
      <c r="J36" t="s">
        <v>31</v>
      </c>
      <c r="K36" s="9">
        <f>SUM(W2,W12,W22,V3,V13,V23)</f>
        <v>0</v>
      </c>
      <c r="L36" s="10" t="s">
        <v>13</v>
      </c>
      <c r="M36" s="7">
        <v>1</v>
      </c>
    </row>
    <row r="37" spans="4:21" x14ac:dyDescent="0.25">
      <c r="J37" t="s">
        <v>32</v>
      </c>
      <c r="K37" s="9">
        <f>SUM(X2,V4,X12,V14,X22,V24)</f>
        <v>1</v>
      </c>
      <c r="L37" s="10" t="s">
        <v>13</v>
      </c>
      <c r="M37" s="7">
        <v>1</v>
      </c>
    </row>
    <row r="38" spans="4:21" x14ac:dyDescent="0.25">
      <c r="E38" s="3" t="s">
        <v>14</v>
      </c>
      <c r="J38" t="s">
        <v>34</v>
      </c>
      <c r="K38" s="9">
        <f>SUM(Y2,Y12,Y22,V5,V15,V25)</f>
        <v>0</v>
      </c>
      <c r="L38" s="10" t="s">
        <v>13</v>
      </c>
      <c r="M38" s="7">
        <v>1</v>
      </c>
    </row>
    <row r="39" spans="4:21" x14ac:dyDescent="0.25">
      <c r="E39" s="11" t="s">
        <v>15</v>
      </c>
      <c r="F39" s="9">
        <f t="shared" ref="F39:F46" si="0">SUM(V2:AC2)+SUM(V12:AC12)+SUM(V22:AC22)</f>
        <v>1</v>
      </c>
      <c r="G39" s="12" t="s">
        <v>16</v>
      </c>
      <c r="H39" s="7">
        <v>1</v>
      </c>
      <c r="J39" t="s">
        <v>35</v>
      </c>
      <c r="K39" s="9">
        <f>SUM(Z2,Z12,Z22,V16,V26,V6)</f>
        <v>0</v>
      </c>
      <c r="L39" s="10" t="s">
        <v>13</v>
      </c>
      <c r="M39" s="7">
        <v>1</v>
      </c>
    </row>
    <row r="40" spans="4:21" x14ac:dyDescent="0.25">
      <c r="E40" s="11" t="s">
        <v>17</v>
      </c>
      <c r="F40" s="9">
        <f t="shared" si="0"/>
        <v>1</v>
      </c>
      <c r="G40" s="10" t="s">
        <v>13</v>
      </c>
      <c r="H40" s="7">
        <v>1</v>
      </c>
      <c r="J40" t="s">
        <v>36</v>
      </c>
      <c r="K40" s="9">
        <f>SUM(AA2,AA12,AA22,V27,V17,V7)</f>
        <v>1</v>
      </c>
      <c r="L40" s="10" t="s">
        <v>13</v>
      </c>
      <c r="M40" s="7">
        <v>1</v>
      </c>
    </row>
    <row r="41" spans="4:21" x14ac:dyDescent="0.25">
      <c r="E41" s="11" t="s">
        <v>18</v>
      </c>
      <c r="F41" s="9">
        <f t="shared" si="0"/>
        <v>1</v>
      </c>
      <c r="G41" s="10" t="s">
        <v>13</v>
      </c>
      <c r="H41" s="7">
        <v>1</v>
      </c>
      <c r="J41" t="s">
        <v>37</v>
      </c>
      <c r="K41" s="9">
        <f>SUM(AB2,AB12,AB22,V8,V18,V28)</f>
        <v>0</v>
      </c>
      <c r="L41" s="10" t="s">
        <v>13</v>
      </c>
      <c r="M41" s="7">
        <v>1</v>
      </c>
    </row>
    <row r="42" spans="4:21" x14ac:dyDescent="0.25">
      <c r="E42" s="11" t="s">
        <v>19</v>
      </c>
      <c r="F42" s="9">
        <f t="shared" si="0"/>
        <v>0</v>
      </c>
      <c r="G42" s="10" t="s">
        <v>13</v>
      </c>
      <c r="H42" s="7">
        <v>1</v>
      </c>
      <c r="J42" t="s">
        <v>38</v>
      </c>
      <c r="K42" s="9">
        <f>SUM(AC2,AC12,AC22,V9,V19,V29)</f>
        <v>0</v>
      </c>
      <c r="L42" s="10" t="s">
        <v>13</v>
      </c>
      <c r="M42" s="7">
        <v>1</v>
      </c>
    </row>
    <row r="43" spans="4:21" x14ac:dyDescent="0.25">
      <c r="E43" s="11" t="s">
        <v>20</v>
      </c>
      <c r="F43" s="9">
        <f t="shared" si="0"/>
        <v>0</v>
      </c>
      <c r="G43" s="10" t="s">
        <v>13</v>
      </c>
      <c r="H43" s="7">
        <v>1</v>
      </c>
      <c r="J43" t="s">
        <v>39</v>
      </c>
      <c r="K43" s="9">
        <f>SUM(W4,W14,W24,X23,X13,X3)</f>
        <v>0</v>
      </c>
      <c r="L43" s="10" t="s">
        <v>13</v>
      </c>
      <c r="M43" s="7">
        <v>1</v>
      </c>
    </row>
    <row r="44" spans="4:21" x14ac:dyDescent="0.25">
      <c r="E44" s="11" t="s">
        <v>21</v>
      </c>
      <c r="F44" s="9">
        <f t="shared" si="0"/>
        <v>1</v>
      </c>
      <c r="G44" s="10" t="s">
        <v>13</v>
      </c>
      <c r="H44" s="7">
        <v>1</v>
      </c>
      <c r="J44" t="s">
        <v>40</v>
      </c>
      <c r="K44" s="9">
        <f>SUM(Y3,Y13,Y23,W25,W15,W5)</f>
        <v>0</v>
      </c>
      <c r="L44" s="10" t="s">
        <v>13</v>
      </c>
      <c r="M44" s="7">
        <v>1</v>
      </c>
    </row>
    <row r="45" spans="4:21" x14ac:dyDescent="0.25">
      <c r="E45" s="11" t="s">
        <v>23</v>
      </c>
      <c r="F45" s="9">
        <f t="shared" si="0"/>
        <v>0</v>
      </c>
      <c r="G45" s="10" t="s">
        <v>13</v>
      </c>
      <c r="H45" s="7">
        <v>1</v>
      </c>
      <c r="J45" t="s">
        <v>41</v>
      </c>
      <c r="K45" s="9">
        <f>SUM(Z3,Z13,Z23,W6,W16,W26)</f>
        <v>0</v>
      </c>
      <c r="L45" s="10" t="s">
        <v>13</v>
      </c>
      <c r="M45" s="7">
        <v>1</v>
      </c>
    </row>
    <row r="46" spans="4:21" x14ac:dyDescent="0.25">
      <c r="E46" s="11" t="s">
        <v>25</v>
      </c>
      <c r="F46" s="9">
        <f t="shared" si="0"/>
        <v>1</v>
      </c>
      <c r="G46" s="10" t="s">
        <v>13</v>
      </c>
      <c r="H46" s="7">
        <v>1</v>
      </c>
      <c r="J46" t="s">
        <v>42</v>
      </c>
      <c r="K46" s="9">
        <f>SUM(AA3,AA13,AA23,W27,W17,W7)</f>
        <v>1</v>
      </c>
      <c r="L46" s="10" t="s">
        <v>13</v>
      </c>
      <c r="M46" s="7">
        <v>1</v>
      </c>
    </row>
    <row r="47" spans="4:21" x14ac:dyDescent="0.25">
      <c r="J47" t="s">
        <v>43</v>
      </c>
      <c r="K47" s="9">
        <f>SUM(AB3,AB13,AB23,W28,W18,W8)</f>
        <v>0</v>
      </c>
      <c r="L47" s="10" t="s">
        <v>13</v>
      </c>
      <c r="M47" s="7">
        <v>1</v>
      </c>
    </row>
    <row r="48" spans="4:21" x14ac:dyDescent="0.25">
      <c r="E48" s="5" t="s">
        <v>26</v>
      </c>
      <c r="F48" s="11"/>
      <c r="J48" t="s">
        <v>44</v>
      </c>
      <c r="K48" s="9">
        <f>SUM(AC3,AC13,AC23,W29,W19,W9)</f>
        <v>1</v>
      </c>
      <c r="L48" s="10" t="s">
        <v>13</v>
      </c>
      <c r="M48" s="7">
        <v>1</v>
      </c>
    </row>
    <row r="49" spans="5:13" x14ac:dyDescent="0.25">
      <c r="E49" s="11" t="s">
        <v>15</v>
      </c>
      <c r="F49" s="9">
        <f t="shared" ref="F49:F56" si="1">SUM(V2:AC2)+SUM(V12:AC12)+SUM(V22:AC22)</f>
        <v>1</v>
      </c>
      <c r="G49" s="12" t="s">
        <v>16</v>
      </c>
      <c r="H49" s="9">
        <f>SUM(V2:V9)+SUM(V12:V19)+SUM(V22:V29)</f>
        <v>1</v>
      </c>
      <c r="J49" t="s">
        <v>46</v>
      </c>
      <c r="K49" s="9">
        <f>SUM(Y4,Y14,Y24,X25,X15,X5)</f>
        <v>0</v>
      </c>
      <c r="L49" s="10" t="s">
        <v>13</v>
      </c>
      <c r="M49" s="7">
        <v>1</v>
      </c>
    </row>
    <row r="50" spans="5:13" x14ac:dyDescent="0.25">
      <c r="E50" s="11" t="s">
        <v>17</v>
      </c>
      <c r="F50" s="9">
        <f t="shared" si="1"/>
        <v>1</v>
      </c>
      <c r="G50" s="12" t="s">
        <v>16</v>
      </c>
      <c r="H50" s="9">
        <f>SUM(W2:W9)+SUM(W12:W19)+SUM(W22:W29)</f>
        <v>1</v>
      </c>
      <c r="J50" t="s">
        <v>47</v>
      </c>
      <c r="K50" s="9">
        <f>SUM(Z4,Z14,Z24,X26,X16,X6)</f>
        <v>0</v>
      </c>
      <c r="L50" s="10" t="s">
        <v>13</v>
      </c>
      <c r="M50" s="7">
        <v>1</v>
      </c>
    </row>
    <row r="51" spans="5:13" x14ac:dyDescent="0.25">
      <c r="E51" s="11" t="s">
        <v>18</v>
      </c>
      <c r="F51" s="9">
        <f t="shared" si="1"/>
        <v>1</v>
      </c>
      <c r="G51" s="12" t="s">
        <v>16</v>
      </c>
      <c r="H51" s="9">
        <f>SUM(X2:X9)+SUM(X12:X19)+SUM(X22:X29)</f>
        <v>1</v>
      </c>
      <c r="J51" t="s">
        <v>48</v>
      </c>
      <c r="K51" s="9">
        <f>SUM(AA4,AA14,AA24,X27,X17,X7)</f>
        <v>0</v>
      </c>
      <c r="L51" s="10" t="s">
        <v>13</v>
      </c>
      <c r="M51" s="7">
        <v>1</v>
      </c>
    </row>
    <row r="52" spans="5:13" x14ac:dyDescent="0.25">
      <c r="E52" s="11" t="s">
        <v>19</v>
      </c>
      <c r="F52" s="9">
        <f t="shared" si="1"/>
        <v>0</v>
      </c>
      <c r="G52" s="12" t="s">
        <v>16</v>
      </c>
      <c r="H52" s="9">
        <f>SUM(Y2:Y9)+SUM(Y12:Y19)+SUM(Y22:Y29)</f>
        <v>0</v>
      </c>
      <c r="J52" t="s">
        <v>49</v>
      </c>
      <c r="K52" s="9">
        <f>SUM(AB4,AB14,AB24,X28,X18,X8)</f>
        <v>0</v>
      </c>
      <c r="L52" s="10" t="s">
        <v>13</v>
      </c>
      <c r="M52" s="7">
        <v>1</v>
      </c>
    </row>
    <row r="53" spans="5:13" x14ac:dyDescent="0.25">
      <c r="E53" s="11" t="s">
        <v>20</v>
      </c>
      <c r="F53" s="9">
        <f t="shared" si="1"/>
        <v>0</v>
      </c>
      <c r="G53" s="12" t="s">
        <v>16</v>
      </c>
      <c r="H53" s="9">
        <f>SUM(Z2:Z9)+SUM(Z12:Z19)+SUM(Z22:Z29)</f>
        <v>0</v>
      </c>
      <c r="J53" t="s">
        <v>50</v>
      </c>
      <c r="K53" s="9">
        <f>SUM(AC4,AC14,AC24,X19,X9,X29)</f>
        <v>1</v>
      </c>
      <c r="L53" s="10" t="s">
        <v>13</v>
      </c>
      <c r="M53" s="7">
        <v>1</v>
      </c>
    </row>
    <row r="54" spans="5:13" x14ac:dyDescent="0.25">
      <c r="E54" s="11" t="s">
        <v>21</v>
      </c>
      <c r="F54" s="9">
        <f t="shared" si="1"/>
        <v>1</v>
      </c>
      <c r="G54" s="12" t="s">
        <v>16</v>
      </c>
      <c r="H54" s="9">
        <f>SUM(AA2:AA9)+SUM(AA12:AA19)+SUM(AA22:AA29)</f>
        <v>1</v>
      </c>
      <c r="J54" t="s">
        <v>51</v>
      </c>
      <c r="K54" s="9">
        <f>SUM(Z5,Z15,Z25,Y26,Y16,Y6)</f>
        <v>0</v>
      </c>
      <c r="L54" s="10" t="s">
        <v>13</v>
      </c>
      <c r="M54" s="7">
        <v>1</v>
      </c>
    </row>
    <row r="55" spans="5:13" x14ac:dyDescent="0.25">
      <c r="E55" s="11" t="s">
        <v>23</v>
      </c>
      <c r="F55" s="9">
        <f t="shared" si="1"/>
        <v>0</v>
      </c>
      <c r="G55" s="12" t="s">
        <v>16</v>
      </c>
      <c r="H55" s="9">
        <f>SUM(AB2:AB9)+SUM(AB12:AB19)+SUM(AB22:AB29)</f>
        <v>0</v>
      </c>
      <c r="J55" t="s">
        <v>52</v>
      </c>
      <c r="K55" s="9">
        <f>SUM(AA5,AA15,AA25,Y27,Y17,Y7)</f>
        <v>0</v>
      </c>
      <c r="L55" s="10" t="s">
        <v>13</v>
      </c>
      <c r="M55" s="7">
        <v>1</v>
      </c>
    </row>
    <row r="56" spans="5:13" x14ac:dyDescent="0.25">
      <c r="E56" s="11" t="s">
        <v>25</v>
      </c>
      <c r="F56" s="9">
        <f t="shared" si="1"/>
        <v>1</v>
      </c>
      <c r="G56" s="12" t="s">
        <v>16</v>
      </c>
      <c r="H56" s="9">
        <f>SUM(AC2:AC9)+SUM(AC12:AC19)+SUM(AC22:AC29)</f>
        <v>1</v>
      </c>
      <c r="J56" t="s">
        <v>53</v>
      </c>
      <c r="K56" s="9">
        <f>SUM(AB5,AB15,AB25,Y28,Y18,Y8)</f>
        <v>0</v>
      </c>
      <c r="L56" s="10" t="s">
        <v>13</v>
      </c>
      <c r="M56" s="7">
        <v>1</v>
      </c>
    </row>
    <row r="57" spans="5:13" x14ac:dyDescent="0.25">
      <c r="J57" t="s">
        <v>54</v>
      </c>
      <c r="K57" s="9">
        <f>SUM(AC5,AC15,AC25,Y29,Y19,Y9)</f>
        <v>0</v>
      </c>
      <c r="L57" s="10" t="s">
        <v>13</v>
      </c>
      <c r="M57" s="7">
        <v>1</v>
      </c>
    </row>
    <row r="58" spans="5:13" x14ac:dyDescent="0.25">
      <c r="E58" s="5" t="s">
        <v>28</v>
      </c>
      <c r="J58" t="s">
        <v>55</v>
      </c>
      <c r="K58" s="9">
        <f>SUM(AA6,AA16,AA26,Z27,Z17,Z7)</f>
        <v>0</v>
      </c>
      <c r="L58" s="10" t="s">
        <v>13</v>
      </c>
      <c r="M58" s="7">
        <v>1</v>
      </c>
    </row>
    <row r="59" spans="5:13" x14ac:dyDescent="0.25">
      <c r="E59" s="9">
        <f>SUM(V2,W3,X4,Y5,Z6,AA7,AB8,AC9,V12,W13,X14,Y15,Z16,AA17,AB18,AC19,V22,W23,X24,Y25,Z26,AA27,AB28,AC29)</f>
        <v>0</v>
      </c>
      <c r="F59" s="12" t="s">
        <v>16</v>
      </c>
      <c r="G59" s="7">
        <v>0</v>
      </c>
      <c r="J59" t="s">
        <v>56</v>
      </c>
      <c r="K59" s="9">
        <f>SUM(AB6,AB16,AB26,Z28,Z18,Z8)</f>
        <v>0</v>
      </c>
      <c r="L59" s="10" t="s">
        <v>13</v>
      </c>
      <c r="M59" s="7">
        <v>1</v>
      </c>
    </row>
    <row r="60" spans="5:13" x14ac:dyDescent="0.25">
      <c r="J60" t="s">
        <v>58</v>
      </c>
      <c r="K60" s="9">
        <f>SUM(AC6,AC16,AC26,Z29,Z19,Z9)</f>
        <v>0</v>
      </c>
      <c r="L60" s="10" t="s">
        <v>13</v>
      </c>
      <c r="M60" s="7">
        <v>1</v>
      </c>
    </row>
    <row r="61" spans="5:13" x14ac:dyDescent="0.25">
      <c r="E61" s="3" t="s">
        <v>29</v>
      </c>
      <c r="J61" t="s">
        <v>59</v>
      </c>
      <c r="K61" s="9">
        <f>SUM(AB7,AB17,AB27,AA28,AA18,AA8)</f>
        <v>0</v>
      </c>
      <c r="L61" s="10" t="s">
        <v>13</v>
      </c>
      <c r="M61" s="7">
        <v>1</v>
      </c>
    </row>
    <row r="62" spans="5:13" x14ac:dyDescent="0.25">
      <c r="E62" s="9">
        <f>SUM(V2:AC9)+SUM(V12:AC19)+SUM(V22:AC29)</f>
        <v>5</v>
      </c>
      <c r="F62" s="12" t="s">
        <v>16</v>
      </c>
      <c r="G62" s="7">
        <v>5</v>
      </c>
      <c r="J62" t="s">
        <v>60</v>
      </c>
      <c r="K62" s="9">
        <f>SUM(AC7,AC17,AC27,AA29,AA19,AA9)</f>
        <v>0</v>
      </c>
      <c r="L62" s="10" t="s">
        <v>13</v>
      </c>
      <c r="M62" s="7">
        <v>1</v>
      </c>
    </row>
    <row r="63" spans="5:13" x14ac:dyDescent="0.25">
      <c r="J63" t="s">
        <v>61</v>
      </c>
      <c r="K63" s="9">
        <f>SUM(AC8,AC18,AC28,AB29,AB19,AB9)</f>
        <v>0</v>
      </c>
      <c r="L63" s="10" t="s">
        <v>13</v>
      </c>
      <c r="M63" s="7">
        <v>1</v>
      </c>
    </row>
    <row r="66" spans="1:1" x14ac:dyDescent="0.25">
      <c r="A66" s="6"/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D220-DBBE-455D-B5AE-9C898EB91852}">
  <dimension ref="A1:AC66"/>
  <sheetViews>
    <sheetView zoomScale="70" zoomScaleNormal="70" workbookViewId="0">
      <selection activeCell="U47" sqref="U47"/>
    </sheetView>
  </sheetViews>
  <sheetFormatPr defaultRowHeight="15" x14ac:dyDescent="0.25"/>
  <cols>
    <col min="1" max="1" width="20.140625" bestFit="1" customWidth="1"/>
    <col min="2" max="2" width="10.28515625" bestFit="1" customWidth="1"/>
    <col min="3" max="3" width="10" bestFit="1" customWidth="1"/>
    <col min="4" max="4" width="15.28515625" bestFit="1" customWidth="1"/>
    <col min="5" max="5" width="9.28515625" bestFit="1" customWidth="1"/>
    <col min="6" max="6" width="8.28515625" bestFit="1" customWidth="1"/>
    <col min="7" max="7" width="12.7109375" bestFit="1" customWidth="1"/>
    <col min="8" max="8" width="15.28515625" bestFit="1" customWidth="1"/>
    <col min="9" max="9" width="13.28515625" bestFit="1" customWidth="1"/>
    <col min="10" max="10" width="20.7109375" customWidth="1"/>
    <col min="11" max="11" width="20.140625" bestFit="1" customWidth="1"/>
    <col min="12" max="12" width="10.28515625" bestFit="1" customWidth="1"/>
    <col min="13" max="13" width="10" bestFit="1" customWidth="1"/>
    <col min="14" max="14" width="15.28515625" bestFit="1" customWidth="1"/>
    <col min="15" max="15" width="9.28515625" bestFit="1" customWidth="1"/>
    <col min="16" max="16" width="8.28515625" bestFit="1" customWidth="1"/>
    <col min="17" max="17" width="12.7109375" bestFit="1" customWidth="1"/>
    <col min="18" max="18" width="15.28515625" bestFit="1" customWidth="1"/>
    <col min="19" max="19" width="13.28515625" bestFit="1" customWidth="1"/>
    <col min="20" max="20" width="20.7109375" customWidth="1"/>
    <col min="21" max="21" width="19.7109375" bestFit="1" customWidth="1"/>
    <col min="22" max="22" width="10.28515625" bestFit="1" customWidth="1"/>
    <col min="23" max="23" width="10" bestFit="1" customWidth="1"/>
    <col min="24" max="24" width="15.28515625" bestFit="1" customWidth="1"/>
    <col min="25" max="25" width="9.28515625" bestFit="1" customWidth="1"/>
    <col min="26" max="26" width="8.28515625" bestFit="1" customWidth="1"/>
    <col min="27" max="27" width="12.7109375" bestFit="1" customWidth="1"/>
    <col min="28" max="28" width="15.28515625" bestFit="1" customWidth="1"/>
    <col min="29" max="29" width="13.28515625" bestFit="1" customWidth="1"/>
  </cols>
  <sheetData>
    <row r="1" spans="1:29" ht="18" x14ac:dyDescent="0.35">
      <c r="A1" s="1" t="s">
        <v>0</v>
      </c>
      <c r="K1" s="1" t="s">
        <v>22</v>
      </c>
      <c r="U1" s="3" t="s">
        <v>72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9</v>
      </c>
      <c r="AC1" s="4" t="s">
        <v>10</v>
      </c>
    </row>
    <row r="2" spans="1:29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K2" s="3" t="s">
        <v>24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U2" s="6" t="s">
        <v>3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</row>
    <row r="3" spans="1:29" ht="14.45" customHeight="1" x14ac:dyDescent="0.25">
      <c r="A3" s="6" t="s">
        <v>3</v>
      </c>
      <c r="B3" s="7">
        <v>0</v>
      </c>
      <c r="C3" s="7">
        <v>61</v>
      </c>
      <c r="D3" s="7">
        <v>28</v>
      </c>
      <c r="E3" s="7">
        <v>46</v>
      </c>
      <c r="F3" s="7">
        <v>38</v>
      </c>
      <c r="G3" s="7">
        <v>17</v>
      </c>
      <c r="H3" s="7">
        <v>44</v>
      </c>
      <c r="I3" s="7">
        <v>49</v>
      </c>
      <c r="K3" s="6" t="s">
        <v>3</v>
      </c>
      <c r="L3" s="7">
        <v>0</v>
      </c>
      <c r="M3" s="7">
        <v>1280</v>
      </c>
      <c r="N3" s="7">
        <v>760</v>
      </c>
      <c r="O3" s="7">
        <v>1020</v>
      </c>
      <c r="P3" s="7">
        <v>800</v>
      </c>
      <c r="Q3" s="7">
        <v>360</v>
      </c>
      <c r="R3" s="7">
        <v>1320</v>
      </c>
      <c r="S3" s="7">
        <v>1010</v>
      </c>
      <c r="U3" s="6" t="s">
        <v>4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</row>
    <row r="4" spans="1:29" x14ac:dyDescent="0.25">
      <c r="A4" s="6" t="s">
        <v>4</v>
      </c>
      <c r="B4" s="7">
        <v>83</v>
      </c>
      <c r="C4" s="7">
        <v>0</v>
      </c>
      <c r="D4" s="7">
        <v>35</v>
      </c>
      <c r="E4" s="7">
        <v>104</v>
      </c>
      <c r="F4" s="7">
        <v>39</v>
      </c>
      <c r="G4" s="7">
        <v>40</v>
      </c>
      <c r="H4" s="7">
        <v>79</v>
      </c>
      <c r="I4" s="7">
        <v>49</v>
      </c>
      <c r="K4" s="6" t="s">
        <v>4</v>
      </c>
      <c r="L4" s="7">
        <v>1440</v>
      </c>
      <c r="M4" s="7">
        <v>0</v>
      </c>
      <c r="N4" s="7">
        <v>480</v>
      </c>
      <c r="O4" s="7">
        <v>2400</v>
      </c>
      <c r="P4" s="7">
        <v>1020</v>
      </c>
      <c r="Q4" s="7">
        <v>865</v>
      </c>
      <c r="R4" s="7">
        <v>1695</v>
      </c>
      <c r="S4" s="7">
        <v>1345</v>
      </c>
      <c r="U4" s="6" t="s">
        <v>5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</row>
    <row r="5" spans="1:29" x14ac:dyDescent="0.25">
      <c r="A5" s="6" t="s">
        <v>5</v>
      </c>
      <c r="B5" s="7">
        <v>28</v>
      </c>
      <c r="C5" s="7">
        <v>39</v>
      </c>
      <c r="D5" s="7">
        <v>0</v>
      </c>
      <c r="E5" s="7">
        <v>87</v>
      </c>
      <c r="F5" s="7">
        <v>40</v>
      </c>
      <c r="G5" s="7">
        <v>15</v>
      </c>
      <c r="H5" s="7">
        <v>80</v>
      </c>
      <c r="I5" s="7">
        <v>50</v>
      </c>
      <c r="K5" s="6" t="s">
        <v>5</v>
      </c>
      <c r="L5" s="7">
        <v>805</v>
      </c>
      <c r="M5" s="7">
        <v>480</v>
      </c>
      <c r="N5" s="7">
        <v>0</v>
      </c>
      <c r="O5" s="7">
        <v>1860</v>
      </c>
      <c r="P5" s="7">
        <v>735</v>
      </c>
      <c r="Q5" s="7">
        <v>435</v>
      </c>
      <c r="R5" s="7">
        <v>1305</v>
      </c>
      <c r="S5" s="7">
        <v>1155</v>
      </c>
      <c r="U5" s="6" t="s">
        <v>6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</row>
    <row r="6" spans="1:29" x14ac:dyDescent="0.25">
      <c r="A6" s="6" t="s">
        <v>6</v>
      </c>
      <c r="B6" s="7">
        <v>58</v>
      </c>
      <c r="C6" s="7">
        <v>104</v>
      </c>
      <c r="D6" s="7">
        <v>105</v>
      </c>
      <c r="E6" s="7">
        <v>0</v>
      </c>
      <c r="F6" s="7">
        <v>49</v>
      </c>
      <c r="G6" s="7">
        <v>65</v>
      </c>
      <c r="H6" s="7">
        <v>30</v>
      </c>
      <c r="I6" s="7">
        <v>35</v>
      </c>
      <c r="K6" s="6" t="s">
        <v>6</v>
      </c>
      <c r="L6" s="7">
        <v>1265</v>
      </c>
      <c r="M6" s="7">
        <v>2340</v>
      </c>
      <c r="N6" s="7">
        <v>2220</v>
      </c>
      <c r="O6" s="7">
        <v>0</v>
      </c>
      <c r="P6" s="7">
        <v>1155</v>
      </c>
      <c r="Q6" s="7">
        <v>1560</v>
      </c>
      <c r="R6" s="7">
        <v>995</v>
      </c>
      <c r="S6" s="7">
        <v>1125</v>
      </c>
      <c r="U6" s="6" t="s">
        <v>7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</row>
    <row r="7" spans="1:29" x14ac:dyDescent="0.25">
      <c r="A7" s="6" t="s">
        <v>7</v>
      </c>
      <c r="B7" s="7">
        <v>38</v>
      </c>
      <c r="C7" s="7">
        <v>39</v>
      </c>
      <c r="D7" s="7">
        <v>40</v>
      </c>
      <c r="E7" s="7">
        <v>49</v>
      </c>
      <c r="F7" s="7">
        <v>0</v>
      </c>
      <c r="G7" s="7">
        <v>29</v>
      </c>
      <c r="H7" s="7">
        <v>25</v>
      </c>
      <c r="I7" s="7">
        <v>10</v>
      </c>
      <c r="K7" s="6" t="s">
        <v>7</v>
      </c>
      <c r="L7" s="7">
        <v>900</v>
      </c>
      <c r="M7" s="7">
        <v>980</v>
      </c>
      <c r="N7" s="7">
        <v>740</v>
      </c>
      <c r="O7" s="7">
        <v>1170</v>
      </c>
      <c r="P7" s="7">
        <v>0</v>
      </c>
      <c r="Q7" s="7">
        <v>600</v>
      </c>
      <c r="R7" s="7">
        <v>525</v>
      </c>
      <c r="S7" s="7">
        <v>255</v>
      </c>
      <c r="U7" s="6" t="s">
        <v>8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</row>
    <row r="8" spans="1:29" x14ac:dyDescent="0.25">
      <c r="A8" s="6" t="s">
        <v>8</v>
      </c>
      <c r="B8" s="7">
        <v>24</v>
      </c>
      <c r="C8" s="7">
        <v>52</v>
      </c>
      <c r="D8" s="7">
        <v>15</v>
      </c>
      <c r="E8" s="7">
        <v>103</v>
      </c>
      <c r="F8" s="7">
        <v>29</v>
      </c>
      <c r="G8" s="7">
        <v>0</v>
      </c>
      <c r="H8" s="7">
        <v>69</v>
      </c>
      <c r="I8" s="7">
        <v>49</v>
      </c>
      <c r="K8" s="6" t="s">
        <v>8</v>
      </c>
      <c r="L8" s="7">
        <v>335</v>
      </c>
      <c r="M8" s="7">
        <v>1125</v>
      </c>
      <c r="N8" s="7">
        <v>410</v>
      </c>
      <c r="O8" s="7">
        <v>1385</v>
      </c>
      <c r="P8" s="7">
        <v>620</v>
      </c>
      <c r="Q8" s="7">
        <v>0</v>
      </c>
      <c r="R8" s="7">
        <v>1280</v>
      </c>
      <c r="S8" s="7">
        <v>980</v>
      </c>
      <c r="U8" s="6" t="s">
        <v>9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 spans="1:29" x14ac:dyDescent="0.25">
      <c r="A9" s="6" t="s">
        <v>9</v>
      </c>
      <c r="B9" s="7">
        <v>49</v>
      </c>
      <c r="C9" s="7">
        <v>79</v>
      </c>
      <c r="D9" s="7">
        <v>80</v>
      </c>
      <c r="E9" s="7">
        <v>46</v>
      </c>
      <c r="F9" s="7">
        <v>40</v>
      </c>
      <c r="G9" s="7">
        <v>69</v>
      </c>
      <c r="H9" s="7">
        <v>0</v>
      </c>
      <c r="I9" s="7">
        <v>10</v>
      </c>
      <c r="K9" s="6" t="s">
        <v>9</v>
      </c>
      <c r="L9" s="7">
        <v>1260</v>
      </c>
      <c r="M9" s="7">
        <v>1560</v>
      </c>
      <c r="N9" s="7">
        <v>1200</v>
      </c>
      <c r="O9" s="7">
        <v>1020</v>
      </c>
      <c r="P9" s="7">
        <v>420</v>
      </c>
      <c r="Q9" s="7">
        <v>1140</v>
      </c>
      <c r="R9" s="7">
        <v>0</v>
      </c>
      <c r="S9" s="7">
        <v>180</v>
      </c>
      <c r="U9" s="6" t="s">
        <v>10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</row>
    <row r="10" spans="1:29" x14ac:dyDescent="0.25">
      <c r="A10" s="6" t="s">
        <v>10</v>
      </c>
      <c r="B10" s="7">
        <v>49</v>
      </c>
      <c r="C10" s="7">
        <v>49</v>
      </c>
      <c r="D10" s="7">
        <v>60</v>
      </c>
      <c r="E10" s="7">
        <v>49</v>
      </c>
      <c r="F10" s="7">
        <v>10</v>
      </c>
      <c r="G10" s="7">
        <v>39</v>
      </c>
      <c r="H10" s="7">
        <v>10</v>
      </c>
      <c r="I10" s="7">
        <v>0</v>
      </c>
      <c r="K10" s="6" t="s">
        <v>10</v>
      </c>
      <c r="L10" s="7">
        <v>1000</v>
      </c>
      <c r="M10" s="7">
        <v>1320</v>
      </c>
      <c r="N10" s="7">
        <v>1080</v>
      </c>
      <c r="O10" s="7">
        <v>1050</v>
      </c>
      <c r="P10" s="7">
        <v>240</v>
      </c>
      <c r="Q10" s="7">
        <v>890</v>
      </c>
      <c r="R10" s="7">
        <v>180</v>
      </c>
      <c r="S10" s="7">
        <v>0</v>
      </c>
      <c r="U10" s="1"/>
    </row>
    <row r="11" spans="1:29" ht="18" x14ac:dyDescent="0.35">
      <c r="T11" s="11"/>
      <c r="U11" s="5" t="s">
        <v>71</v>
      </c>
      <c r="V11" s="4" t="s">
        <v>3</v>
      </c>
      <c r="W11" s="4" t="s">
        <v>4</v>
      </c>
      <c r="X11" s="4" t="s">
        <v>5</v>
      </c>
      <c r="Y11" s="4" t="s">
        <v>6</v>
      </c>
      <c r="Z11" s="4" t="s">
        <v>7</v>
      </c>
      <c r="AA11" s="4" t="s">
        <v>8</v>
      </c>
      <c r="AB11" s="4" t="s">
        <v>9</v>
      </c>
      <c r="AC11" s="4" t="s">
        <v>10</v>
      </c>
    </row>
    <row r="12" spans="1:29" x14ac:dyDescent="0.25">
      <c r="A12" s="1" t="s">
        <v>45</v>
      </c>
      <c r="K12" s="1" t="s">
        <v>57</v>
      </c>
      <c r="T12" s="11"/>
      <c r="U12" s="6" t="s">
        <v>3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</row>
    <row r="13" spans="1:29" x14ac:dyDescent="0.25">
      <c r="A13" s="5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K13" s="3" t="s">
        <v>24</v>
      </c>
      <c r="L13" s="4" t="s">
        <v>3</v>
      </c>
      <c r="M13" s="4" t="s">
        <v>4</v>
      </c>
      <c r="N13" s="4" t="s">
        <v>5</v>
      </c>
      <c r="O13" s="4" t="s">
        <v>6</v>
      </c>
      <c r="P13" s="4" t="s">
        <v>7</v>
      </c>
      <c r="Q13" s="4" t="s">
        <v>8</v>
      </c>
      <c r="R13" s="4" t="s">
        <v>9</v>
      </c>
      <c r="S13" s="4" t="s">
        <v>10</v>
      </c>
      <c r="T13" s="11"/>
      <c r="U13" s="6" t="s">
        <v>4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</row>
    <row r="14" spans="1:29" x14ac:dyDescent="0.25">
      <c r="A14" s="6" t="s">
        <v>3</v>
      </c>
      <c r="B14" s="7">
        <v>0</v>
      </c>
      <c r="C14" s="7">
        <v>73</v>
      </c>
      <c r="D14" s="7">
        <v>64</v>
      </c>
      <c r="E14" s="7">
        <v>81</v>
      </c>
      <c r="F14" s="7">
        <v>93</v>
      </c>
      <c r="G14" s="7">
        <v>106</v>
      </c>
      <c r="H14" s="7">
        <v>65</v>
      </c>
      <c r="I14" s="7">
        <v>88</v>
      </c>
      <c r="K14" s="6" t="s">
        <v>3</v>
      </c>
      <c r="L14" s="7">
        <v>0</v>
      </c>
      <c r="M14" s="7">
        <v>73</v>
      </c>
      <c r="N14" s="7">
        <v>64</v>
      </c>
      <c r="O14" s="7">
        <v>81</v>
      </c>
      <c r="P14" s="7">
        <v>390</v>
      </c>
      <c r="Q14" s="7">
        <v>320</v>
      </c>
      <c r="R14" s="7">
        <v>345</v>
      </c>
      <c r="S14" s="7">
        <v>370</v>
      </c>
      <c r="U14" s="6" t="s">
        <v>5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</row>
    <row r="15" spans="1:29" x14ac:dyDescent="0.25">
      <c r="A15" s="6" t="s">
        <v>4</v>
      </c>
      <c r="B15" s="7">
        <v>76</v>
      </c>
      <c r="C15" s="7">
        <v>0</v>
      </c>
      <c r="D15" s="7">
        <v>25</v>
      </c>
      <c r="E15" s="7">
        <v>37</v>
      </c>
      <c r="F15" s="7">
        <v>20</v>
      </c>
      <c r="G15" s="7">
        <v>26</v>
      </c>
      <c r="H15" s="7">
        <v>64</v>
      </c>
      <c r="I15" s="7">
        <v>20</v>
      </c>
      <c r="K15" s="6" t="s">
        <v>4</v>
      </c>
      <c r="L15" s="7">
        <v>410</v>
      </c>
      <c r="M15" s="7">
        <v>0</v>
      </c>
      <c r="N15" s="7">
        <v>75</v>
      </c>
      <c r="O15" s="7">
        <v>175</v>
      </c>
      <c r="P15" s="7">
        <v>130</v>
      </c>
      <c r="Q15" s="7">
        <v>105</v>
      </c>
      <c r="R15" s="7">
        <v>215</v>
      </c>
      <c r="S15" s="7">
        <v>200</v>
      </c>
      <c r="U15" s="6" t="s">
        <v>6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</row>
    <row r="16" spans="1:29" x14ac:dyDescent="0.25">
      <c r="A16" s="6" t="s">
        <v>5</v>
      </c>
      <c r="B16" s="7">
        <v>65</v>
      </c>
      <c r="C16" s="7">
        <v>39</v>
      </c>
      <c r="D16" s="7">
        <v>0</v>
      </c>
      <c r="E16" s="7">
        <v>29</v>
      </c>
      <c r="F16" s="7">
        <v>21</v>
      </c>
      <c r="G16" s="7">
        <v>23</v>
      </c>
      <c r="H16" s="7">
        <v>33</v>
      </c>
      <c r="I16" s="7">
        <v>17</v>
      </c>
      <c r="K16" s="6" t="s">
        <v>5</v>
      </c>
      <c r="L16" s="7">
        <v>355</v>
      </c>
      <c r="M16" s="7">
        <v>80</v>
      </c>
      <c r="N16" s="7">
        <v>0</v>
      </c>
      <c r="O16" s="7">
        <v>145</v>
      </c>
      <c r="P16" s="7">
        <v>120</v>
      </c>
      <c r="Q16" s="7">
        <v>65</v>
      </c>
      <c r="R16" s="7">
        <v>150</v>
      </c>
      <c r="S16" s="7">
        <v>145</v>
      </c>
      <c r="U16" s="6" t="s">
        <v>7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1</v>
      </c>
    </row>
    <row r="17" spans="1:29" x14ac:dyDescent="0.25">
      <c r="A17" s="6" t="s">
        <v>6</v>
      </c>
      <c r="B17" s="7">
        <v>104</v>
      </c>
      <c r="C17" s="7">
        <v>44</v>
      </c>
      <c r="D17" s="7">
        <v>27</v>
      </c>
      <c r="E17" s="7">
        <v>0</v>
      </c>
      <c r="F17" s="7">
        <v>34</v>
      </c>
      <c r="G17" s="7">
        <v>90</v>
      </c>
      <c r="H17" s="7">
        <v>99</v>
      </c>
      <c r="I17" s="7">
        <v>25</v>
      </c>
      <c r="K17" s="6" t="s">
        <v>6</v>
      </c>
      <c r="L17" s="7">
        <v>395</v>
      </c>
      <c r="M17" s="7">
        <v>190</v>
      </c>
      <c r="N17" s="7">
        <v>140</v>
      </c>
      <c r="O17" s="7">
        <v>0</v>
      </c>
      <c r="P17" s="7">
        <v>120</v>
      </c>
      <c r="Q17" s="7">
        <v>365</v>
      </c>
      <c r="R17" s="7">
        <v>115</v>
      </c>
      <c r="S17" s="7">
        <v>105</v>
      </c>
      <c r="U17" s="6" t="s">
        <v>8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 spans="1:29" x14ac:dyDescent="0.25">
      <c r="A18" s="6" t="s">
        <v>7</v>
      </c>
      <c r="B18" s="7">
        <v>91</v>
      </c>
      <c r="C18" s="7">
        <v>29</v>
      </c>
      <c r="D18" s="7">
        <v>18</v>
      </c>
      <c r="E18" s="7">
        <v>22</v>
      </c>
      <c r="F18" s="7">
        <v>0</v>
      </c>
      <c r="G18" s="7">
        <v>51</v>
      </c>
      <c r="H18" s="7">
        <v>39</v>
      </c>
      <c r="I18" s="7">
        <v>114</v>
      </c>
      <c r="K18" s="6" t="s">
        <v>7</v>
      </c>
      <c r="L18" s="7">
        <v>240</v>
      </c>
      <c r="M18" s="7">
        <v>140</v>
      </c>
      <c r="N18" s="7">
        <v>105</v>
      </c>
      <c r="O18" s="7">
        <v>115</v>
      </c>
      <c r="P18" s="7">
        <v>0</v>
      </c>
      <c r="Q18" s="7">
        <v>80</v>
      </c>
      <c r="R18" s="7">
        <v>75</v>
      </c>
      <c r="S18" s="7">
        <v>55</v>
      </c>
      <c r="U18" s="6" t="s">
        <v>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</row>
    <row r="19" spans="1:29" x14ac:dyDescent="0.25">
      <c r="A19" s="6" t="s">
        <v>8</v>
      </c>
      <c r="B19" s="7">
        <v>89</v>
      </c>
      <c r="C19" s="7">
        <v>48</v>
      </c>
      <c r="D19" s="7">
        <v>25</v>
      </c>
      <c r="E19" s="7">
        <v>88</v>
      </c>
      <c r="F19" s="7">
        <v>50</v>
      </c>
      <c r="G19" s="7">
        <v>0</v>
      </c>
      <c r="H19" s="7">
        <v>126</v>
      </c>
      <c r="I19" s="7">
        <v>28</v>
      </c>
      <c r="K19" s="6" t="s">
        <v>8</v>
      </c>
      <c r="L19" s="7">
        <v>390</v>
      </c>
      <c r="M19" s="7">
        <v>90</v>
      </c>
      <c r="N19" s="7">
        <v>65</v>
      </c>
      <c r="O19" s="7">
        <v>320</v>
      </c>
      <c r="P19" s="7">
        <v>90</v>
      </c>
      <c r="Q19" s="7">
        <v>0</v>
      </c>
      <c r="R19" s="7">
        <v>130</v>
      </c>
      <c r="S19" s="7">
        <v>110</v>
      </c>
      <c r="U19" s="6" t="s">
        <v>10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</row>
    <row r="20" spans="1:29" x14ac:dyDescent="0.25">
      <c r="A20" s="6" t="s">
        <v>9</v>
      </c>
      <c r="B20" s="7">
        <v>146</v>
      </c>
      <c r="C20" s="7">
        <v>60</v>
      </c>
      <c r="D20" s="7">
        <v>58</v>
      </c>
      <c r="E20" s="7">
        <v>116</v>
      </c>
      <c r="F20" s="7">
        <v>59</v>
      </c>
      <c r="G20" s="7">
        <v>133</v>
      </c>
      <c r="H20" s="7">
        <v>0</v>
      </c>
      <c r="I20" s="7">
        <v>147</v>
      </c>
      <c r="K20" s="6" t="s">
        <v>9</v>
      </c>
      <c r="L20" s="7">
        <v>150</v>
      </c>
      <c r="M20" s="7">
        <v>160</v>
      </c>
      <c r="N20" s="7">
        <v>135</v>
      </c>
      <c r="O20" s="7">
        <v>105</v>
      </c>
      <c r="P20" s="7">
        <v>80</v>
      </c>
      <c r="Q20" s="7">
        <v>115</v>
      </c>
      <c r="R20" s="7">
        <v>0</v>
      </c>
      <c r="S20" s="7">
        <v>45</v>
      </c>
    </row>
    <row r="21" spans="1:29" ht="18" x14ac:dyDescent="0.35">
      <c r="A21" s="6" t="s">
        <v>10</v>
      </c>
      <c r="B21" s="7">
        <v>73</v>
      </c>
      <c r="C21" s="7">
        <v>26</v>
      </c>
      <c r="D21" s="7">
        <v>27</v>
      </c>
      <c r="E21" s="7">
        <v>19</v>
      </c>
      <c r="F21" s="7">
        <v>217</v>
      </c>
      <c r="G21" s="7">
        <v>21</v>
      </c>
      <c r="H21" s="7">
        <v>148</v>
      </c>
      <c r="I21" s="7">
        <v>0</v>
      </c>
      <c r="K21" s="6" t="s">
        <v>10</v>
      </c>
      <c r="L21" s="7">
        <v>260</v>
      </c>
      <c r="M21" s="7">
        <v>140</v>
      </c>
      <c r="N21" s="7">
        <v>120</v>
      </c>
      <c r="O21" s="7">
        <v>1.45</v>
      </c>
      <c r="P21" s="7">
        <v>60</v>
      </c>
      <c r="Q21" s="7">
        <v>105</v>
      </c>
      <c r="R21" s="7">
        <v>55</v>
      </c>
      <c r="S21" s="7">
        <v>0</v>
      </c>
      <c r="U21" s="3" t="s">
        <v>70</v>
      </c>
      <c r="V21" s="4" t="s">
        <v>3</v>
      </c>
      <c r="W21" s="4" t="s">
        <v>4</v>
      </c>
      <c r="X21" s="4" t="s">
        <v>5</v>
      </c>
      <c r="Y21" s="4" t="s">
        <v>6</v>
      </c>
      <c r="Z21" s="4" t="s">
        <v>7</v>
      </c>
      <c r="AA21" s="4" t="s">
        <v>8</v>
      </c>
      <c r="AB21" s="4" t="s">
        <v>9</v>
      </c>
      <c r="AC21" s="4" t="s">
        <v>10</v>
      </c>
    </row>
    <row r="22" spans="1:29" x14ac:dyDescent="0.25">
      <c r="T22" s="11"/>
      <c r="U22" s="6" t="s">
        <v>3</v>
      </c>
      <c r="V22" s="13">
        <v>0</v>
      </c>
      <c r="W22" s="13">
        <v>0</v>
      </c>
      <c r="X22" s="13">
        <v>1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</row>
    <row r="23" spans="1:29" x14ac:dyDescent="0.25">
      <c r="A23" s="1" t="s">
        <v>27</v>
      </c>
      <c r="K23" s="1" t="s">
        <v>33</v>
      </c>
      <c r="T23" s="11"/>
      <c r="U23" s="6" t="s">
        <v>4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</row>
    <row r="24" spans="1:29" x14ac:dyDescent="0.25">
      <c r="A24" s="3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10</v>
      </c>
      <c r="K24" s="3" t="s">
        <v>24</v>
      </c>
      <c r="L24" s="4" t="s">
        <v>3</v>
      </c>
      <c r="M24" s="4" t="s">
        <v>4</v>
      </c>
      <c r="N24" s="4" t="s">
        <v>5</v>
      </c>
      <c r="O24" s="4" t="s">
        <v>6</v>
      </c>
      <c r="P24" s="4" t="s">
        <v>7</v>
      </c>
      <c r="Q24" s="4" t="s">
        <v>8</v>
      </c>
      <c r="R24" s="4" t="s">
        <v>9</v>
      </c>
      <c r="S24" s="4" t="s">
        <v>10</v>
      </c>
      <c r="T24" s="11"/>
      <c r="U24" s="6" t="s">
        <v>5</v>
      </c>
      <c r="V24" s="13">
        <v>0</v>
      </c>
      <c r="W24" s="13">
        <v>0</v>
      </c>
      <c r="X24" s="13">
        <v>0</v>
      </c>
      <c r="Y24" s="13">
        <v>0</v>
      </c>
      <c r="Z24" s="13">
        <v>1</v>
      </c>
      <c r="AA24" s="13">
        <v>0</v>
      </c>
      <c r="AB24" s="13">
        <v>0</v>
      </c>
      <c r="AC24" s="13">
        <v>0</v>
      </c>
    </row>
    <row r="25" spans="1:29" x14ac:dyDescent="0.25">
      <c r="A25" s="6" t="s">
        <v>3</v>
      </c>
      <c r="B25" s="7">
        <v>0</v>
      </c>
      <c r="C25" s="7">
        <v>104</v>
      </c>
      <c r="D25" s="7">
        <v>82.25</v>
      </c>
      <c r="E25" s="7">
        <v>65.790000000000006</v>
      </c>
      <c r="F25" s="7">
        <v>79.900000000000006</v>
      </c>
      <c r="G25" s="7">
        <v>23.09</v>
      </c>
      <c r="H25" s="7">
        <v>93.8</v>
      </c>
      <c r="I25" s="7">
        <v>90.9</v>
      </c>
      <c r="K25" s="6" t="s">
        <v>3</v>
      </c>
      <c r="L25" s="7">
        <v>0</v>
      </c>
      <c r="M25" s="7">
        <v>982</v>
      </c>
      <c r="N25" s="7">
        <v>774</v>
      </c>
      <c r="O25" s="7">
        <v>767</v>
      </c>
      <c r="P25" s="7">
        <v>624</v>
      </c>
      <c r="Q25" s="7">
        <v>492</v>
      </c>
      <c r="R25" s="7">
        <v>851</v>
      </c>
      <c r="S25" s="7">
        <v>710</v>
      </c>
      <c r="U25" s="6" t="s">
        <v>6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</row>
    <row r="26" spans="1:29" x14ac:dyDescent="0.25">
      <c r="A26" s="6" t="s">
        <v>4</v>
      </c>
      <c r="B26" s="7">
        <v>105</v>
      </c>
      <c r="C26" s="7">
        <v>0</v>
      </c>
      <c r="D26" s="7">
        <v>18</v>
      </c>
      <c r="E26" s="7">
        <v>179.13</v>
      </c>
      <c r="F26" s="7">
        <v>94</v>
      </c>
      <c r="G26" s="7">
        <v>92.7</v>
      </c>
      <c r="H26" s="7">
        <v>212</v>
      </c>
      <c r="I26" s="7">
        <v>177</v>
      </c>
      <c r="K26" s="6" t="s">
        <v>4</v>
      </c>
      <c r="L26" s="7">
        <v>1049</v>
      </c>
      <c r="M26" s="7">
        <v>0</v>
      </c>
      <c r="N26" s="7">
        <v>165</v>
      </c>
      <c r="O26" s="7">
        <v>1482</v>
      </c>
      <c r="P26" s="7">
        <v>676</v>
      </c>
      <c r="Q26" s="7">
        <v>606</v>
      </c>
      <c r="R26" s="7">
        <v>879</v>
      </c>
      <c r="S26" s="7">
        <v>762</v>
      </c>
      <c r="U26" s="6" t="s">
        <v>7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</row>
    <row r="27" spans="1:29" x14ac:dyDescent="0.25">
      <c r="A27" s="6" t="s">
        <v>5</v>
      </c>
      <c r="B27" s="7">
        <v>61</v>
      </c>
      <c r="C27" s="7">
        <v>15</v>
      </c>
      <c r="D27" s="7">
        <v>0</v>
      </c>
      <c r="E27" s="7">
        <v>121.88</v>
      </c>
      <c r="F27" s="7">
        <v>69</v>
      </c>
      <c r="G27" s="7">
        <v>24.69</v>
      </c>
      <c r="H27" s="7">
        <v>103.99</v>
      </c>
      <c r="I27" s="7">
        <v>158</v>
      </c>
      <c r="K27" s="6" t="s">
        <v>5</v>
      </c>
      <c r="L27" s="7">
        <v>845</v>
      </c>
      <c r="M27" s="7">
        <v>150</v>
      </c>
      <c r="N27" s="7">
        <v>0</v>
      </c>
      <c r="O27" s="7">
        <v>1632</v>
      </c>
      <c r="P27" s="7">
        <v>409</v>
      </c>
      <c r="Q27" s="7">
        <v>516</v>
      </c>
      <c r="R27" s="7">
        <v>946</v>
      </c>
      <c r="S27" s="7">
        <v>554</v>
      </c>
      <c r="U27" s="6" t="s">
        <v>8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</row>
    <row r="28" spans="1:29" x14ac:dyDescent="0.25">
      <c r="A28" s="6" t="s">
        <v>6</v>
      </c>
      <c r="B28" s="7">
        <v>67.3</v>
      </c>
      <c r="C28" s="7">
        <v>148.9</v>
      </c>
      <c r="D28" s="7">
        <v>157.9</v>
      </c>
      <c r="E28" s="7">
        <v>0</v>
      </c>
      <c r="F28" s="7">
        <v>76.900000000000006</v>
      </c>
      <c r="G28" s="7">
        <v>98.9</v>
      </c>
      <c r="H28" s="7">
        <v>51.89</v>
      </c>
      <c r="I28" s="7">
        <v>99.9</v>
      </c>
      <c r="K28" s="6" t="s">
        <v>6</v>
      </c>
      <c r="L28" s="7">
        <v>855</v>
      </c>
      <c r="M28" s="7">
        <v>1665</v>
      </c>
      <c r="N28" s="7">
        <v>1497</v>
      </c>
      <c r="O28" s="7">
        <v>0</v>
      </c>
      <c r="P28" s="7">
        <v>638</v>
      </c>
      <c r="Q28" s="7">
        <v>1253</v>
      </c>
      <c r="R28" s="7">
        <v>741</v>
      </c>
      <c r="S28" s="7">
        <v>622</v>
      </c>
      <c r="U28" s="6" t="s">
        <v>9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</row>
    <row r="29" spans="1:29" x14ac:dyDescent="0.25">
      <c r="A29" s="6" t="s">
        <v>7</v>
      </c>
      <c r="B29" s="7">
        <v>61.9</v>
      </c>
      <c r="C29" s="7">
        <v>67.599999999999994</v>
      </c>
      <c r="D29" s="7">
        <v>106</v>
      </c>
      <c r="E29" s="7">
        <v>63.89</v>
      </c>
      <c r="F29" s="7">
        <v>0</v>
      </c>
      <c r="G29" s="7">
        <v>19</v>
      </c>
      <c r="H29" s="7">
        <v>48</v>
      </c>
      <c r="I29" s="7">
        <v>29</v>
      </c>
      <c r="K29" s="6" t="s">
        <v>7</v>
      </c>
      <c r="L29" s="7">
        <v>590</v>
      </c>
      <c r="M29" s="7">
        <v>744</v>
      </c>
      <c r="N29" s="7">
        <v>416</v>
      </c>
      <c r="O29" s="7">
        <v>627</v>
      </c>
      <c r="P29" s="7">
        <v>0</v>
      </c>
      <c r="Q29" s="7">
        <v>203</v>
      </c>
      <c r="R29" s="7">
        <v>199</v>
      </c>
      <c r="S29" s="7">
        <v>82</v>
      </c>
      <c r="U29" s="6" t="s">
        <v>10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</v>
      </c>
      <c r="AB29" s="13">
        <v>0</v>
      </c>
      <c r="AC29" s="13">
        <v>0</v>
      </c>
    </row>
    <row r="30" spans="1:29" x14ac:dyDescent="0.25">
      <c r="A30" s="6" t="s">
        <v>8</v>
      </c>
      <c r="B30" s="7">
        <v>28.19</v>
      </c>
      <c r="C30" s="7">
        <v>115.5</v>
      </c>
      <c r="D30" s="7">
        <v>58</v>
      </c>
      <c r="E30" s="7">
        <v>101.89</v>
      </c>
      <c r="F30" s="7">
        <v>29</v>
      </c>
      <c r="G30" s="7">
        <v>0</v>
      </c>
      <c r="H30" s="7">
        <v>89</v>
      </c>
      <c r="I30" s="7">
        <v>20.99</v>
      </c>
      <c r="K30" s="6" t="s">
        <v>8</v>
      </c>
      <c r="L30" s="7">
        <v>492</v>
      </c>
      <c r="M30" s="7">
        <v>526</v>
      </c>
      <c r="N30" s="7">
        <v>358</v>
      </c>
      <c r="O30" s="7">
        <v>1307</v>
      </c>
      <c r="P30" s="7">
        <v>206</v>
      </c>
      <c r="Q30" s="7">
        <v>0</v>
      </c>
      <c r="R30" s="7">
        <v>460</v>
      </c>
      <c r="S30" s="7">
        <v>488</v>
      </c>
    </row>
    <row r="31" spans="1:29" x14ac:dyDescent="0.25">
      <c r="A31" s="6" t="s">
        <v>9</v>
      </c>
      <c r="B31" s="7">
        <v>120.8</v>
      </c>
      <c r="C31" s="7">
        <v>165.99</v>
      </c>
      <c r="D31" s="7">
        <v>147</v>
      </c>
      <c r="E31" s="7">
        <v>51.89</v>
      </c>
      <c r="F31" s="7">
        <v>35</v>
      </c>
      <c r="G31" s="7">
        <v>84</v>
      </c>
      <c r="H31" s="7">
        <v>0</v>
      </c>
      <c r="I31" s="7">
        <v>29</v>
      </c>
      <c r="K31" s="6" t="s">
        <v>9</v>
      </c>
      <c r="L31" s="7">
        <v>816</v>
      </c>
      <c r="M31" s="7">
        <v>1237</v>
      </c>
      <c r="N31" s="7">
        <v>670</v>
      </c>
      <c r="O31" s="7">
        <v>792</v>
      </c>
      <c r="P31" s="7">
        <v>200</v>
      </c>
      <c r="Q31" s="7">
        <v>461</v>
      </c>
      <c r="R31" s="7">
        <v>0</v>
      </c>
      <c r="S31" s="7">
        <v>113</v>
      </c>
    </row>
    <row r="32" spans="1:29" x14ac:dyDescent="0.25">
      <c r="A32" s="6" t="s">
        <v>10</v>
      </c>
      <c r="B32" s="7">
        <v>80.900000000000006</v>
      </c>
      <c r="C32" s="7">
        <v>160</v>
      </c>
      <c r="D32" s="7">
        <v>135</v>
      </c>
      <c r="E32" s="7">
        <v>79.900000000000006</v>
      </c>
      <c r="F32" s="7">
        <v>29</v>
      </c>
      <c r="G32" s="7">
        <v>70</v>
      </c>
      <c r="H32" s="7">
        <v>29</v>
      </c>
      <c r="I32" s="7">
        <v>0</v>
      </c>
      <c r="K32" s="6" t="s">
        <v>10</v>
      </c>
      <c r="L32" s="7">
        <v>648</v>
      </c>
      <c r="M32" s="7">
        <v>807</v>
      </c>
      <c r="N32" s="7">
        <v>591</v>
      </c>
      <c r="O32" s="7">
        <v>624</v>
      </c>
      <c r="P32" s="7">
        <v>83</v>
      </c>
      <c r="Q32" s="7">
        <v>340</v>
      </c>
      <c r="R32" s="7">
        <v>112</v>
      </c>
      <c r="S32" s="7">
        <v>0</v>
      </c>
      <c r="U32" s="5" t="s">
        <v>11</v>
      </c>
    </row>
    <row r="33" spans="4:21" x14ac:dyDescent="0.25">
      <c r="U33" s="8">
        <f>SUMPRODUCT(B3:I10,V2:AC9)+SUMPRODUCT(B25:I32,V12:AC19)+SUMPRODUCT(B14:I21,V22:AC29)</f>
        <v>159</v>
      </c>
    </row>
    <row r="35" spans="4:21" x14ac:dyDescent="0.25">
      <c r="D35" s="2" t="s">
        <v>1</v>
      </c>
      <c r="E35" s="3" t="s">
        <v>12</v>
      </c>
      <c r="J35" s="3" t="s">
        <v>30</v>
      </c>
      <c r="O35" s="3" t="s">
        <v>62</v>
      </c>
    </row>
    <row r="36" spans="4:21" x14ac:dyDescent="0.25">
      <c r="E36" s="9">
        <f>SUMPRODUCT(L3:S10,V2:AC9)+SUMPRODUCT(V12:AC19,L25:S32)+SUMPRODUCT(L14:S21,V22:AC29)</f>
        <v>706</v>
      </c>
      <c r="F36" s="10" t="s">
        <v>13</v>
      </c>
      <c r="G36" s="7">
        <v>800</v>
      </c>
      <c r="J36" t="s">
        <v>31</v>
      </c>
      <c r="K36" s="9">
        <f>SUM(W2,W12,W22,V3,V13,V23)</f>
        <v>0</v>
      </c>
      <c r="L36" s="10" t="s">
        <v>13</v>
      </c>
      <c r="M36" s="7">
        <v>1</v>
      </c>
      <c r="O36" s="9">
        <f>SUM(V2:AC9)</f>
        <v>1</v>
      </c>
      <c r="P36" s="14" t="s">
        <v>65</v>
      </c>
      <c r="Q36" s="7">
        <v>1</v>
      </c>
    </row>
    <row r="37" spans="4:21" x14ac:dyDescent="0.25">
      <c r="J37" t="s">
        <v>32</v>
      </c>
      <c r="K37" s="9">
        <f>SUM(X2,V4,X12,V14,X22,V24)</f>
        <v>1</v>
      </c>
      <c r="L37" s="10" t="s">
        <v>13</v>
      </c>
      <c r="M37" s="7">
        <v>1</v>
      </c>
      <c r="O37" s="12"/>
      <c r="P37" s="12"/>
      <c r="Q37" s="12"/>
    </row>
    <row r="38" spans="4:21" x14ac:dyDescent="0.25">
      <c r="E38" s="3" t="s">
        <v>14</v>
      </c>
      <c r="J38" t="s">
        <v>34</v>
      </c>
      <c r="K38" s="9">
        <f>SUM(Y2,Y12,Y22,V5,V15,V25)</f>
        <v>0</v>
      </c>
      <c r="L38" s="10" t="s">
        <v>13</v>
      </c>
      <c r="M38" s="7">
        <v>1</v>
      </c>
      <c r="O38" s="15" t="s">
        <v>63</v>
      </c>
      <c r="P38" s="12"/>
      <c r="Q38" s="12"/>
    </row>
    <row r="39" spans="4:21" x14ac:dyDescent="0.25">
      <c r="E39" s="11" t="s">
        <v>15</v>
      </c>
      <c r="F39" s="9">
        <f t="shared" ref="F39:F46" si="0">SUM(V2:AC2)+SUM(V12:AC12)+SUM(V22:AC22)</f>
        <v>1</v>
      </c>
      <c r="G39" s="12" t="s">
        <v>16</v>
      </c>
      <c r="H39" s="7">
        <v>1</v>
      </c>
      <c r="J39" t="s">
        <v>35</v>
      </c>
      <c r="K39" s="9">
        <f>SUM(Z2,Z12,Z22,V16,V26,V6)</f>
        <v>0</v>
      </c>
      <c r="L39" s="10" t="s">
        <v>13</v>
      </c>
      <c r="M39" s="7">
        <v>1</v>
      </c>
      <c r="O39" s="9">
        <f>SUM(V12:AC19)</f>
        <v>1</v>
      </c>
      <c r="P39" s="14" t="s">
        <v>65</v>
      </c>
      <c r="Q39" s="7">
        <v>1</v>
      </c>
    </row>
    <row r="40" spans="4:21" x14ac:dyDescent="0.25">
      <c r="E40" s="11" t="s">
        <v>17</v>
      </c>
      <c r="F40" s="9">
        <f t="shared" si="0"/>
        <v>0</v>
      </c>
      <c r="G40" s="10" t="s">
        <v>13</v>
      </c>
      <c r="H40" s="7">
        <v>1</v>
      </c>
      <c r="J40" t="s">
        <v>36</v>
      </c>
      <c r="K40" s="9">
        <f>SUM(AA2,AA12,AA22,V27,V17,V7)</f>
        <v>1</v>
      </c>
      <c r="L40" s="10" t="s">
        <v>13</v>
      </c>
      <c r="M40" s="7">
        <v>1</v>
      </c>
      <c r="O40" s="12"/>
      <c r="P40" s="12"/>
      <c r="Q40" s="12"/>
    </row>
    <row r="41" spans="4:21" x14ac:dyDescent="0.25">
      <c r="E41" s="11" t="s">
        <v>18</v>
      </c>
      <c r="F41" s="9">
        <f t="shared" si="0"/>
        <v>1</v>
      </c>
      <c r="G41" s="10" t="s">
        <v>13</v>
      </c>
      <c r="H41" s="7">
        <v>1</v>
      </c>
      <c r="J41" t="s">
        <v>37</v>
      </c>
      <c r="K41" s="9">
        <f>SUM(AB2,AB12,AB22,V8,V18,V28)</f>
        <v>0</v>
      </c>
      <c r="L41" s="10" t="s">
        <v>13</v>
      </c>
      <c r="M41" s="7">
        <v>1</v>
      </c>
      <c r="O41" s="15" t="s">
        <v>64</v>
      </c>
      <c r="P41" s="12"/>
      <c r="Q41" s="12"/>
    </row>
    <row r="42" spans="4:21" x14ac:dyDescent="0.25">
      <c r="E42" s="11" t="s">
        <v>19</v>
      </c>
      <c r="F42" s="9">
        <f t="shared" si="0"/>
        <v>0</v>
      </c>
      <c r="G42" s="10" t="s">
        <v>13</v>
      </c>
      <c r="H42" s="7">
        <v>1</v>
      </c>
      <c r="J42" t="s">
        <v>38</v>
      </c>
      <c r="K42" s="9">
        <f>SUM(AC2,AC12,AC22,V9,V19,V29)</f>
        <v>0</v>
      </c>
      <c r="L42" s="10" t="s">
        <v>13</v>
      </c>
      <c r="M42" s="7">
        <v>1</v>
      </c>
      <c r="O42" s="9">
        <f>SUM(V22:AC29)</f>
        <v>3</v>
      </c>
      <c r="P42" s="14" t="s">
        <v>65</v>
      </c>
      <c r="Q42" s="7">
        <v>1</v>
      </c>
    </row>
    <row r="43" spans="4:21" x14ac:dyDescent="0.25">
      <c r="E43" s="11" t="s">
        <v>20</v>
      </c>
      <c r="F43" s="9">
        <f t="shared" si="0"/>
        <v>1</v>
      </c>
      <c r="G43" s="10" t="s">
        <v>13</v>
      </c>
      <c r="H43" s="7">
        <v>1</v>
      </c>
      <c r="J43" t="s">
        <v>39</v>
      </c>
      <c r="K43" s="9">
        <f>SUM(W4,W14,W24,X23,X13,X3)</f>
        <v>0</v>
      </c>
      <c r="L43" s="10" t="s">
        <v>13</v>
      </c>
      <c r="M43" s="7">
        <v>1</v>
      </c>
    </row>
    <row r="44" spans="4:21" x14ac:dyDescent="0.25">
      <c r="E44" s="11" t="s">
        <v>21</v>
      </c>
      <c r="F44" s="9">
        <f t="shared" si="0"/>
        <v>1</v>
      </c>
      <c r="G44" s="10" t="s">
        <v>13</v>
      </c>
      <c r="H44" s="7">
        <v>1</v>
      </c>
      <c r="J44" t="s">
        <v>40</v>
      </c>
      <c r="K44" s="9">
        <f>SUM(Y3,Y13,Y23,W25,W15,W5)</f>
        <v>0</v>
      </c>
      <c r="L44" s="10" t="s">
        <v>13</v>
      </c>
      <c r="M44" s="7">
        <v>1</v>
      </c>
    </row>
    <row r="45" spans="4:21" x14ac:dyDescent="0.25">
      <c r="E45" s="11" t="s">
        <v>23</v>
      </c>
      <c r="F45" s="9">
        <f t="shared" si="0"/>
        <v>0</v>
      </c>
      <c r="G45" s="10" t="s">
        <v>13</v>
      </c>
      <c r="H45" s="7">
        <v>1</v>
      </c>
      <c r="J45" t="s">
        <v>41</v>
      </c>
      <c r="K45" s="9">
        <f>SUM(Z3,Z13,Z23,W6,W16,W26)</f>
        <v>0</v>
      </c>
      <c r="L45" s="10" t="s">
        <v>13</v>
      </c>
      <c r="M45" s="7">
        <v>1</v>
      </c>
    </row>
    <row r="46" spans="4:21" x14ac:dyDescent="0.25">
      <c r="E46" s="11" t="s">
        <v>25</v>
      </c>
      <c r="F46" s="9">
        <f t="shared" si="0"/>
        <v>1</v>
      </c>
      <c r="G46" s="10" t="s">
        <v>13</v>
      </c>
      <c r="H46" s="7">
        <v>1</v>
      </c>
      <c r="J46" t="s">
        <v>42</v>
      </c>
      <c r="K46" s="9">
        <f>SUM(AA3,AA13,AA23,W27,W17,W7)</f>
        <v>0</v>
      </c>
      <c r="L46" s="10" t="s">
        <v>13</v>
      </c>
      <c r="M46" s="7">
        <v>1</v>
      </c>
    </row>
    <row r="47" spans="4:21" x14ac:dyDescent="0.25">
      <c r="J47" t="s">
        <v>43</v>
      </c>
      <c r="K47" s="9">
        <f>SUM(AB3,AB13,AB23,W28,W18,W8)</f>
        <v>0</v>
      </c>
      <c r="L47" s="10" t="s">
        <v>13</v>
      </c>
      <c r="M47" s="7">
        <v>1</v>
      </c>
    </row>
    <row r="48" spans="4:21" x14ac:dyDescent="0.25">
      <c r="E48" s="5" t="s">
        <v>26</v>
      </c>
      <c r="F48" s="11"/>
      <c r="J48" t="s">
        <v>44</v>
      </c>
      <c r="K48" s="9">
        <f>SUM(AC3,AC13,AC23,W29,W19,W9)</f>
        <v>0</v>
      </c>
      <c r="L48" s="10" t="s">
        <v>13</v>
      </c>
      <c r="M48" s="7">
        <v>1</v>
      </c>
    </row>
    <row r="49" spans="5:13" x14ac:dyDescent="0.25">
      <c r="E49" s="11" t="s">
        <v>15</v>
      </c>
      <c r="F49" s="9">
        <f t="shared" ref="F49:F56" si="1">SUM(V2:AC2)+SUM(V12:AC12)+SUM(V22:AC22)</f>
        <v>1</v>
      </c>
      <c r="G49" s="12" t="s">
        <v>16</v>
      </c>
      <c r="H49" s="9">
        <f>SUM(V2:V9)+SUM(V12:V19)+SUM(V22:V29)</f>
        <v>1</v>
      </c>
      <c r="J49" t="s">
        <v>46</v>
      </c>
      <c r="K49" s="9">
        <f>SUM(Y4,Y14,Y24,X25,X15,X5)</f>
        <v>0</v>
      </c>
      <c r="L49" s="10" t="s">
        <v>13</v>
      </c>
      <c r="M49" s="7">
        <v>1</v>
      </c>
    </row>
    <row r="50" spans="5:13" x14ac:dyDescent="0.25">
      <c r="E50" s="11" t="s">
        <v>17</v>
      </c>
      <c r="F50" s="9">
        <f t="shared" si="1"/>
        <v>0</v>
      </c>
      <c r="G50" s="12" t="s">
        <v>16</v>
      </c>
      <c r="H50" s="9">
        <f>SUM(W2:W9)+SUM(W12:W19)+SUM(W22:W29)</f>
        <v>0</v>
      </c>
      <c r="J50" t="s">
        <v>47</v>
      </c>
      <c r="K50" s="9">
        <f>SUM(Z4,Z14,Z24,X26,X16,X6)</f>
        <v>1</v>
      </c>
      <c r="L50" s="10" t="s">
        <v>13</v>
      </c>
      <c r="M50" s="7">
        <v>1</v>
      </c>
    </row>
    <row r="51" spans="5:13" x14ac:dyDescent="0.25">
      <c r="E51" s="11" t="s">
        <v>18</v>
      </c>
      <c r="F51" s="9">
        <f t="shared" si="1"/>
        <v>1</v>
      </c>
      <c r="G51" s="12" t="s">
        <v>16</v>
      </c>
      <c r="H51" s="9">
        <f>SUM(X2:X9)+SUM(X12:X19)+SUM(X22:X29)</f>
        <v>1</v>
      </c>
      <c r="J51" t="s">
        <v>48</v>
      </c>
      <c r="K51" s="9">
        <f>SUM(AA4,AA14,AA24,X27,X17,X7)</f>
        <v>0</v>
      </c>
      <c r="L51" s="10" t="s">
        <v>13</v>
      </c>
      <c r="M51" s="7">
        <v>1</v>
      </c>
    </row>
    <row r="52" spans="5:13" x14ac:dyDescent="0.25">
      <c r="E52" s="11" t="s">
        <v>19</v>
      </c>
      <c r="F52" s="9">
        <f t="shared" si="1"/>
        <v>0</v>
      </c>
      <c r="G52" s="12" t="s">
        <v>16</v>
      </c>
      <c r="H52" s="9">
        <f>SUM(Y2:Y9)+SUM(Y12:Y19)+SUM(Y22:Y29)</f>
        <v>0</v>
      </c>
      <c r="J52" t="s">
        <v>49</v>
      </c>
      <c r="K52" s="9">
        <f>SUM(AB4,AB14,AB24,X28,X18,X8)</f>
        <v>0</v>
      </c>
      <c r="L52" s="10" t="s">
        <v>13</v>
      </c>
      <c r="M52" s="7">
        <v>1</v>
      </c>
    </row>
    <row r="53" spans="5:13" x14ac:dyDescent="0.25">
      <c r="E53" s="11" t="s">
        <v>20</v>
      </c>
      <c r="F53" s="9">
        <f t="shared" si="1"/>
        <v>1</v>
      </c>
      <c r="G53" s="12" t="s">
        <v>16</v>
      </c>
      <c r="H53" s="9">
        <f>SUM(Z2:Z9)+SUM(Z12:Z19)+SUM(Z22:Z29)</f>
        <v>1</v>
      </c>
      <c r="J53" t="s">
        <v>50</v>
      </c>
      <c r="K53" s="9">
        <f>SUM(AC4,AC14,AC24,X19,X9,X29)</f>
        <v>0</v>
      </c>
      <c r="L53" s="10" t="s">
        <v>13</v>
      </c>
      <c r="M53" s="7">
        <v>1</v>
      </c>
    </row>
    <row r="54" spans="5:13" x14ac:dyDescent="0.25">
      <c r="E54" s="11" t="s">
        <v>21</v>
      </c>
      <c r="F54" s="9">
        <f t="shared" si="1"/>
        <v>1</v>
      </c>
      <c r="G54" s="12" t="s">
        <v>16</v>
      </c>
      <c r="H54" s="9">
        <f>SUM(AA2:AA9)+SUM(AA12:AA19)+SUM(AA22:AA29)</f>
        <v>1</v>
      </c>
      <c r="J54" t="s">
        <v>51</v>
      </c>
      <c r="K54" s="9">
        <f>SUM(Z5,Z15,Z25,Y26,Y16,Y6)</f>
        <v>0</v>
      </c>
      <c r="L54" s="10" t="s">
        <v>13</v>
      </c>
      <c r="M54" s="7">
        <v>1</v>
      </c>
    </row>
    <row r="55" spans="5:13" x14ac:dyDescent="0.25">
      <c r="E55" s="11" t="s">
        <v>23</v>
      </c>
      <c r="F55" s="9">
        <f t="shared" si="1"/>
        <v>0</v>
      </c>
      <c r="G55" s="12" t="s">
        <v>16</v>
      </c>
      <c r="H55" s="9">
        <f>SUM(AB2:AB9)+SUM(AB12:AB19)+SUM(AB22:AB29)</f>
        <v>0</v>
      </c>
      <c r="J55" t="s">
        <v>52</v>
      </c>
      <c r="K55" s="9">
        <f>SUM(AA5,AA15,AA25,Y27,Y17,Y7)</f>
        <v>0</v>
      </c>
      <c r="L55" s="10" t="s">
        <v>13</v>
      </c>
      <c r="M55" s="7">
        <v>1</v>
      </c>
    </row>
    <row r="56" spans="5:13" x14ac:dyDescent="0.25">
      <c r="E56" s="11" t="s">
        <v>25</v>
      </c>
      <c r="F56" s="9">
        <f t="shared" si="1"/>
        <v>1</v>
      </c>
      <c r="G56" s="12" t="s">
        <v>16</v>
      </c>
      <c r="H56" s="9">
        <f>SUM(AC2:AC9)+SUM(AC12:AC19)+SUM(AC22:AC29)</f>
        <v>1</v>
      </c>
      <c r="J56" t="s">
        <v>53</v>
      </c>
      <c r="K56" s="9">
        <f>SUM(AB5,AB15,AB25,Y28,Y18,Y8)</f>
        <v>0</v>
      </c>
      <c r="L56" s="10" t="s">
        <v>13</v>
      </c>
      <c r="M56" s="7">
        <v>1</v>
      </c>
    </row>
    <row r="57" spans="5:13" x14ac:dyDescent="0.25">
      <c r="J57" t="s">
        <v>54</v>
      </c>
      <c r="K57" s="9">
        <f>SUM(AC5,AC15,AC25,Y29,Y19,Y9)</f>
        <v>0</v>
      </c>
      <c r="L57" s="10" t="s">
        <v>13</v>
      </c>
      <c r="M57" s="7">
        <v>1</v>
      </c>
    </row>
    <row r="58" spans="5:13" x14ac:dyDescent="0.25">
      <c r="E58" s="5" t="s">
        <v>28</v>
      </c>
      <c r="J58" t="s">
        <v>55</v>
      </c>
      <c r="K58" s="9">
        <f>SUM(AA6,AA16,AA26,Z27,Z17,Z7)</f>
        <v>0</v>
      </c>
      <c r="L58" s="10" t="s">
        <v>13</v>
      </c>
      <c r="M58" s="7">
        <v>1</v>
      </c>
    </row>
    <row r="59" spans="5:13" x14ac:dyDescent="0.25">
      <c r="E59" s="9">
        <f>SUM(V2,W3,X4,Y5,Z6,AA7,AB8,AC9,V12,W13,X14,Y15,Z16,AA17,AB18,AC19,V22,W23,X24,Y25,Z26,AA27,AB28,AC29)</f>
        <v>0</v>
      </c>
      <c r="F59" s="12" t="s">
        <v>16</v>
      </c>
      <c r="G59" s="7">
        <v>0</v>
      </c>
      <c r="J59" t="s">
        <v>56</v>
      </c>
      <c r="K59" s="9">
        <f>SUM(AB6,AB16,AB26,Z28,Z18,Z8)</f>
        <v>0</v>
      </c>
      <c r="L59" s="10" t="s">
        <v>13</v>
      </c>
      <c r="M59" s="7">
        <v>1</v>
      </c>
    </row>
    <row r="60" spans="5:13" x14ac:dyDescent="0.25">
      <c r="J60" t="s">
        <v>58</v>
      </c>
      <c r="K60" s="9">
        <f>SUM(AC6,AC16,AC26,Z29,Z19,Z9)</f>
        <v>1</v>
      </c>
      <c r="L60" s="10" t="s">
        <v>13</v>
      </c>
      <c r="M60" s="7">
        <v>1</v>
      </c>
    </row>
    <row r="61" spans="5:13" x14ac:dyDescent="0.25">
      <c r="E61" s="3" t="s">
        <v>29</v>
      </c>
      <c r="J61" t="s">
        <v>59</v>
      </c>
      <c r="K61" s="9">
        <f>SUM(AB7,AB17,AB27,AA28,AA18,AA8)</f>
        <v>0</v>
      </c>
      <c r="L61" s="10" t="s">
        <v>13</v>
      </c>
      <c r="M61" s="7">
        <v>1</v>
      </c>
    </row>
    <row r="62" spans="5:13" x14ac:dyDescent="0.25">
      <c r="E62" s="9">
        <f>SUM(V2:AC9)+SUM(V12:AC19)+SUM(V22:AC29)</f>
        <v>5</v>
      </c>
      <c r="F62" s="12" t="s">
        <v>16</v>
      </c>
      <c r="G62" s="7">
        <v>5</v>
      </c>
      <c r="J62" t="s">
        <v>60</v>
      </c>
      <c r="K62" s="9">
        <f>SUM(AC7,AC17,AC27,AA29,AA19,AA9)</f>
        <v>1</v>
      </c>
      <c r="L62" s="10" t="s">
        <v>13</v>
      </c>
      <c r="M62" s="7">
        <v>1</v>
      </c>
    </row>
    <row r="63" spans="5:13" x14ac:dyDescent="0.25">
      <c r="J63" t="s">
        <v>61</v>
      </c>
      <c r="K63" s="9">
        <f>SUM(AC8,AC18,AC28,AB29,AB19,AB9)</f>
        <v>0</v>
      </c>
      <c r="L63" s="10" t="s">
        <v>13</v>
      </c>
      <c r="M63" s="7">
        <v>1</v>
      </c>
    </row>
    <row r="66" spans="1:1" x14ac:dyDescent="0.25">
      <c r="A66" s="6"/>
    </row>
  </sheetData>
  <pageMargins left="0.7" right="0.7" top="0.75" bottom="0.75" header="0.3" footer="0.3"/>
  <pageSetup paperSize="9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178D2-D039-4A1F-93B5-E0D898367084}">
  <dimension ref="A1:AC66"/>
  <sheetViews>
    <sheetView topLeftCell="F1" zoomScale="70" zoomScaleNormal="70" workbookViewId="0">
      <selection activeCell="P51" sqref="P51"/>
    </sheetView>
  </sheetViews>
  <sheetFormatPr defaultRowHeight="15" x14ac:dyDescent="0.25"/>
  <cols>
    <col min="1" max="1" width="20.140625" bestFit="1" customWidth="1"/>
    <col min="2" max="2" width="10.28515625" bestFit="1" customWidth="1"/>
    <col min="3" max="3" width="10" bestFit="1" customWidth="1"/>
    <col min="4" max="4" width="15.28515625" bestFit="1" customWidth="1"/>
    <col min="5" max="5" width="9.28515625" bestFit="1" customWidth="1"/>
    <col min="6" max="6" width="8.28515625" bestFit="1" customWidth="1"/>
    <col min="7" max="7" width="12.7109375" bestFit="1" customWidth="1"/>
    <col min="8" max="8" width="15.28515625" bestFit="1" customWidth="1"/>
    <col min="9" max="9" width="13.28515625" bestFit="1" customWidth="1"/>
    <col min="10" max="10" width="20.7109375" customWidth="1"/>
    <col min="11" max="11" width="20.140625" bestFit="1" customWidth="1"/>
    <col min="12" max="12" width="10.28515625" bestFit="1" customWidth="1"/>
    <col min="13" max="13" width="10" bestFit="1" customWidth="1"/>
    <col min="14" max="14" width="15.28515625" bestFit="1" customWidth="1"/>
    <col min="15" max="15" width="9.28515625" bestFit="1" customWidth="1"/>
    <col min="16" max="16" width="8.28515625" bestFit="1" customWidth="1"/>
    <col min="17" max="17" width="12.7109375" bestFit="1" customWidth="1"/>
    <col min="18" max="18" width="15.28515625" bestFit="1" customWidth="1"/>
    <col min="19" max="19" width="13.28515625" bestFit="1" customWidth="1"/>
    <col min="20" max="20" width="20.7109375" customWidth="1"/>
    <col min="21" max="21" width="19.7109375" bestFit="1" customWidth="1"/>
    <col min="22" max="22" width="10.28515625" bestFit="1" customWidth="1"/>
    <col min="23" max="23" width="10" bestFit="1" customWidth="1"/>
    <col min="24" max="24" width="15.28515625" bestFit="1" customWidth="1"/>
    <col min="25" max="25" width="9.28515625" bestFit="1" customWidth="1"/>
    <col min="26" max="26" width="8.28515625" bestFit="1" customWidth="1"/>
    <col min="27" max="27" width="12.7109375" bestFit="1" customWidth="1"/>
    <col min="28" max="28" width="15.28515625" bestFit="1" customWidth="1"/>
    <col min="29" max="29" width="13.28515625" bestFit="1" customWidth="1"/>
  </cols>
  <sheetData>
    <row r="1" spans="1:29" ht="18" x14ac:dyDescent="0.35">
      <c r="A1" s="1" t="s">
        <v>0</v>
      </c>
      <c r="K1" s="1" t="s">
        <v>22</v>
      </c>
      <c r="U1" s="3" t="s">
        <v>72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9</v>
      </c>
      <c r="AC1" s="4" t="s">
        <v>10</v>
      </c>
    </row>
    <row r="2" spans="1:29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K2" s="3" t="s">
        <v>24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U2" s="6" t="s">
        <v>3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</row>
    <row r="3" spans="1:29" ht="14.45" customHeight="1" x14ac:dyDescent="0.25">
      <c r="A3" s="6" t="s">
        <v>3</v>
      </c>
      <c r="B3" s="7">
        <v>0</v>
      </c>
      <c r="C3" s="7">
        <v>61</v>
      </c>
      <c r="D3" s="7">
        <v>28</v>
      </c>
      <c r="E3" s="7">
        <v>46</v>
      </c>
      <c r="F3" s="7">
        <v>38</v>
      </c>
      <c r="G3" s="7">
        <v>17</v>
      </c>
      <c r="H3" s="7">
        <v>44</v>
      </c>
      <c r="I3" s="7">
        <v>49</v>
      </c>
      <c r="K3" s="6" t="s">
        <v>3</v>
      </c>
      <c r="L3" s="7">
        <v>0</v>
      </c>
      <c r="M3" s="7">
        <v>1280</v>
      </c>
      <c r="N3" s="7">
        <v>760</v>
      </c>
      <c r="O3" s="7">
        <v>1020</v>
      </c>
      <c r="P3" s="7">
        <v>800</v>
      </c>
      <c r="Q3" s="7">
        <v>360</v>
      </c>
      <c r="R3" s="7">
        <v>1320</v>
      </c>
      <c r="S3" s="7">
        <v>1010</v>
      </c>
      <c r="U3" s="6" t="s">
        <v>4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</row>
    <row r="4" spans="1:29" x14ac:dyDescent="0.25">
      <c r="A4" s="6" t="s">
        <v>4</v>
      </c>
      <c r="B4" s="7">
        <v>83</v>
      </c>
      <c r="C4" s="7">
        <v>0</v>
      </c>
      <c r="D4" s="7">
        <v>35</v>
      </c>
      <c r="E4" s="7">
        <v>104</v>
      </c>
      <c r="F4" s="7">
        <v>39</v>
      </c>
      <c r="G4" s="7">
        <v>40</v>
      </c>
      <c r="H4" s="7">
        <v>79</v>
      </c>
      <c r="I4" s="7">
        <v>49</v>
      </c>
      <c r="K4" s="6" t="s">
        <v>4</v>
      </c>
      <c r="L4" s="7">
        <v>1440</v>
      </c>
      <c r="M4" s="7">
        <v>0</v>
      </c>
      <c r="N4" s="7">
        <v>480</v>
      </c>
      <c r="O4" s="7">
        <v>2400</v>
      </c>
      <c r="P4" s="7">
        <v>1020</v>
      </c>
      <c r="Q4" s="7">
        <v>865</v>
      </c>
      <c r="R4" s="7">
        <v>1695</v>
      </c>
      <c r="S4" s="7">
        <v>1345</v>
      </c>
      <c r="U4" s="6" t="s">
        <v>5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</row>
    <row r="5" spans="1:29" x14ac:dyDescent="0.25">
      <c r="A5" s="6" t="s">
        <v>5</v>
      </c>
      <c r="B5" s="7">
        <v>28</v>
      </c>
      <c r="C5" s="7">
        <v>39</v>
      </c>
      <c r="D5" s="7">
        <v>0</v>
      </c>
      <c r="E5" s="7">
        <v>87</v>
      </c>
      <c r="F5" s="7">
        <v>40</v>
      </c>
      <c r="G5" s="7">
        <v>15</v>
      </c>
      <c r="H5" s="7">
        <v>80</v>
      </c>
      <c r="I5" s="7">
        <v>50</v>
      </c>
      <c r="K5" s="6" t="s">
        <v>5</v>
      </c>
      <c r="L5" s="7">
        <v>805</v>
      </c>
      <c r="M5" s="7">
        <v>480</v>
      </c>
      <c r="N5" s="7">
        <v>0</v>
      </c>
      <c r="O5" s="7">
        <v>1860</v>
      </c>
      <c r="P5" s="7">
        <v>735</v>
      </c>
      <c r="Q5" s="7">
        <v>435</v>
      </c>
      <c r="R5" s="7">
        <v>1305</v>
      </c>
      <c r="S5" s="7">
        <v>1155</v>
      </c>
      <c r="U5" s="6" t="s">
        <v>6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</row>
    <row r="6" spans="1:29" x14ac:dyDescent="0.25">
      <c r="A6" s="6" t="s">
        <v>6</v>
      </c>
      <c r="B6" s="7">
        <v>58</v>
      </c>
      <c r="C6" s="7">
        <v>104</v>
      </c>
      <c r="D6" s="7">
        <v>105</v>
      </c>
      <c r="E6" s="7">
        <v>0</v>
      </c>
      <c r="F6" s="7">
        <v>49</v>
      </c>
      <c r="G6" s="7">
        <v>65</v>
      </c>
      <c r="H6" s="7">
        <v>30</v>
      </c>
      <c r="I6" s="7">
        <v>35</v>
      </c>
      <c r="K6" s="6" t="s">
        <v>6</v>
      </c>
      <c r="L6" s="7">
        <v>1265</v>
      </c>
      <c r="M6" s="7">
        <v>2340</v>
      </c>
      <c r="N6" s="7">
        <v>2220</v>
      </c>
      <c r="O6" s="7">
        <v>0</v>
      </c>
      <c r="P6" s="7">
        <v>1155</v>
      </c>
      <c r="Q6" s="7">
        <v>1560</v>
      </c>
      <c r="R6" s="7">
        <v>995</v>
      </c>
      <c r="S6" s="7">
        <v>1125</v>
      </c>
      <c r="U6" s="6" t="s">
        <v>7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</row>
    <row r="7" spans="1:29" x14ac:dyDescent="0.25">
      <c r="A7" s="6" t="s">
        <v>7</v>
      </c>
      <c r="B7" s="7">
        <v>38</v>
      </c>
      <c r="C7" s="7">
        <v>39</v>
      </c>
      <c r="D7" s="7">
        <v>40</v>
      </c>
      <c r="E7" s="7">
        <v>49</v>
      </c>
      <c r="F7" s="7">
        <v>0</v>
      </c>
      <c r="G7" s="7">
        <v>29</v>
      </c>
      <c r="H7" s="7">
        <v>25</v>
      </c>
      <c r="I7" s="7">
        <v>10</v>
      </c>
      <c r="K7" s="6" t="s">
        <v>7</v>
      </c>
      <c r="L7" s="7">
        <v>900</v>
      </c>
      <c r="M7" s="7">
        <v>980</v>
      </c>
      <c r="N7" s="7">
        <v>740</v>
      </c>
      <c r="O7" s="7">
        <v>1170</v>
      </c>
      <c r="P7" s="7">
        <v>0</v>
      </c>
      <c r="Q7" s="7">
        <v>600</v>
      </c>
      <c r="R7" s="7">
        <v>525</v>
      </c>
      <c r="S7" s="7">
        <v>255</v>
      </c>
      <c r="U7" s="6" t="s">
        <v>8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</row>
    <row r="8" spans="1:29" x14ac:dyDescent="0.25">
      <c r="A8" s="6" t="s">
        <v>8</v>
      </c>
      <c r="B8" s="7">
        <v>24</v>
      </c>
      <c r="C8" s="7">
        <v>52</v>
      </c>
      <c r="D8" s="7">
        <v>15</v>
      </c>
      <c r="E8" s="7">
        <v>103</v>
      </c>
      <c r="F8" s="7">
        <v>29</v>
      </c>
      <c r="G8" s="7">
        <v>0</v>
      </c>
      <c r="H8" s="7">
        <v>69</v>
      </c>
      <c r="I8" s="7">
        <v>49</v>
      </c>
      <c r="K8" s="6" t="s">
        <v>8</v>
      </c>
      <c r="L8" s="7">
        <v>335</v>
      </c>
      <c r="M8" s="7">
        <v>1125</v>
      </c>
      <c r="N8" s="7">
        <v>410</v>
      </c>
      <c r="O8" s="7">
        <v>1385</v>
      </c>
      <c r="P8" s="7">
        <v>620</v>
      </c>
      <c r="Q8" s="7">
        <v>0</v>
      </c>
      <c r="R8" s="7">
        <v>1280</v>
      </c>
      <c r="S8" s="7">
        <v>980</v>
      </c>
      <c r="U8" s="6" t="s">
        <v>9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 spans="1:29" x14ac:dyDescent="0.25">
      <c r="A9" s="6" t="s">
        <v>9</v>
      </c>
      <c r="B9" s="7">
        <v>49</v>
      </c>
      <c r="C9" s="7">
        <v>79</v>
      </c>
      <c r="D9" s="7">
        <v>80</v>
      </c>
      <c r="E9" s="7">
        <v>46</v>
      </c>
      <c r="F9" s="7">
        <v>40</v>
      </c>
      <c r="G9" s="7">
        <v>69</v>
      </c>
      <c r="H9" s="7">
        <v>0</v>
      </c>
      <c r="I9" s="7">
        <v>10</v>
      </c>
      <c r="K9" s="6" t="s">
        <v>9</v>
      </c>
      <c r="L9" s="7">
        <v>1260</v>
      </c>
      <c r="M9" s="7">
        <v>1560</v>
      </c>
      <c r="N9" s="7">
        <v>1200</v>
      </c>
      <c r="O9" s="7">
        <v>1020</v>
      </c>
      <c r="P9" s="7">
        <v>420</v>
      </c>
      <c r="Q9" s="7">
        <v>1140</v>
      </c>
      <c r="R9" s="7">
        <v>0</v>
      </c>
      <c r="S9" s="7">
        <v>180</v>
      </c>
      <c r="U9" s="6" t="s">
        <v>10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</row>
    <row r="10" spans="1:29" x14ac:dyDescent="0.25">
      <c r="A10" s="6" t="s">
        <v>10</v>
      </c>
      <c r="B10" s="7">
        <v>49</v>
      </c>
      <c r="C10" s="7">
        <v>49</v>
      </c>
      <c r="D10" s="7">
        <v>60</v>
      </c>
      <c r="E10" s="7">
        <v>49</v>
      </c>
      <c r="F10" s="7">
        <v>10</v>
      </c>
      <c r="G10" s="7">
        <v>39</v>
      </c>
      <c r="H10" s="7">
        <v>10</v>
      </c>
      <c r="I10" s="7">
        <v>0</v>
      </c>
      <c r="K10" s="6" t="s">
        <v>10</v>
      </c>
      <c r="L10" s="7">
        <v>1000</v>
      </c>
      <c r="M10" s="7">
        <v>1320</v>
      </c>
      <c r="N10" s="7">
        <v>1080</v>
      </c>
      <c r="O10" s="7">
        <v>1050</v>
      </c>
      <c r="P10" s="7">
        <v>240</v>
      </c>
      <c r="Q10" s="7">
        <v>890</v>
      </c>
      <c r="R10" s="7">
        <v>180</v>
      </c>
      <c r="S10" s="7">
        <v>0</v>
      </c>
      <c r="U10" s="1"/>
    </row>
    <row r="11" spans="1:29" ht="18" x14ac:dyDescent="0.35">
      <c r="T11" s="11"/>
      <c r="U11" s="5" t="s">
        <v>71</v>
      </c>
      <c r="V11" s="4" t="s">
        <v>3</v>
      </c>
      <c r="W11" s="4" t="s">
        <v>4</v>
      </c>
      <c r="X11" s="4" t="s">
        <v>5</v>
      </c>
      <c r="Y11" s="4" t="s">
        <v>6</v>
      </c>
      <c r="Z11" s="4" t="s">
        <v>7</v>
      </c>
      <c r="AA11" s="4" t="s">
        <v>8</v>
      </c>
      <c r="AB11" s="4" t="s">
        <v>9</v>
      </c>
      <c r="AC11" s="4" t="s">
        <v>10</v>
      </c>
    </row>
    <row r="12" spans="1:29" x14ac:dyDescent="0.25">
      <c r="A12" s="1" t="s">
        <v>45</v>
      </c>
      <c r="K12" s="1" t="s">
        <v>57</v>
      </c>
      <c r="T12" s="11"/>
      <c r="U12" s="6" t="s">
        <v>3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</row>
    <row r="13" spans="1:29" x14ac:dyDescent="0.25">
      <c r="A13" s="5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K13" s="3" t="s">
        <v>24</v>
      </c>
      <c r="L13" s="4" t="s">
        <v>3</v>
      </c>
      <c r="M13" s="4" t="s">
        <v>4</v>
      </c>
      <c r="N13" s="4" t="s">
        <v>5</v>
      </c>
      <c r="O13" s="4" t="s">
        <v>6</v>
      </c>
      <c r="P13" s="4" t="s">
        <v>7</v>
      </c>
      <c r="Q13" s="4" t="s">
        <v>8</v>
      </c>
      <c r="R13" s="4" t="s">
        <v>9</v>
      </c>
      <c r="S13" s="4" t="s">
        <v>10</v>
      </c>
      <c r="T13" s="11"/>
      <c r="U13" s="6" t="s">
        <v>4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</row>
    <row r="14" spans="1:29" x14ac:dyDescent="0.25">
      <c r="A14" s="6" t="s">
        <v>3</v>
      </c>
      <c r="B14" s="7">
        <v>0</v>
      </c>
      <c r="C14" s="7">
        <v>73</v>
      </c>
      <c r="D14" s="7">
        <v>64</v>
      </c>
      <c r="E14" s="7">
        <v>81</v>
      </c>
      <c r="F14" s="7">
        <v>93</v>
      </c>
      <c r="G14" s="7">
        <v>106</v>
      </c>
      <c r="H14" s="7">
        <v>65</v>
      </c>
      <c r="I14" s="7">
        <v>88</v>
      </c>
      <c r="K14" s="6" t="s">
        <v>3</v>
      </c>
      <c r="L14" s="7">
        <v>0</v>
      </c>
      <c r="M14" s="7">
        <v>73</v>
      </c>
      <c r="N14" s="7">
        <v>64</v>
      </c>
      <c r="O14" s="7">
        <v>81</v>
      </c>
      <c r="P14" s="7">
        <v>390</v>
      </c>
      <c r="Q14" s="7">
        <v>320</v>
      </c>
      <c r="R14" s="7">
        <v>345</v>
      </c>
      <c r="S14" s="7">
        <v>370</v>
      </c>
      <c r="U14" s="6" t="s">
        <v>5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</row>
    <row r="15" spans="1:29" x14ac:dyDescent="0.25">
      <c r="A15" s="6" t="s">
        <v>4</v>
      </c>
      <c r="B15" s="7">
        <v>76</v>
      </c>
      <c r="C15" s="7">
        <v>0</v>
      </c>
      <c r="D15" s="7">
        <v>25</v>
      </c>
      <c r="E15" s="7">
        <v>37</v>
      </c>
      <c r="F15" s="7">
        <v>20</v>
      </c>
      <c r="G15" s="7">
        <v>26</v>
      </c>
      <c r="H15" s="7">
        <v>64</v>
      </c>
      <c r="I15" s="7">
        <v>20</v>
      </c>
      <c r="K15" s="6" t="s">
        <v>4</v>
      </c>
      <c r="L15" s="7">
        <v>410</v>
      </c>
      <c r="M15" s="7">
        <v>0</v>
      </c>
      <c r="N15" s="7">
        <v>75</v>
      </c>
      <c r="O15" s="7">
        <v>175</v>
      </c>
      <c r="P15" s="7">
        <v>130</v>
      </c>
      <c r="Q15" s="7">
        <v>105</v>
      </c>
      <c r="R15" s="7">
        <v>215</v>
      </c>
      <c r="S15" s="7">
        <v>200</v>
      </c>
      <c r="U15" s="6" t="s">
        <v>6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</row>
    <row r="16" spans="1:29" x14ac:dyDescent="0.25">
      <c r="A16" s="6" t="s">
        <v>5</v>
      </c>
      <c r="B16" s="7">
        <v>65</v>
      </c>
      <c r="C16" s="7">
        <v>39</v>
      </c>
      <c r="D16" s="7">
        <v>0</v>
      </c>
      <c r="E16" s="7">
        <v>29</v>
      </c>
      <c r="F16" s="7">
        <v>21</v>
      </c>
      <c r="G16" s="7">
        <v>23</v>
      </c>
      <c r="H16" s="7">
        <v>33</v>
      </c>
      <c r="I16" s="7">
        <v>17</v>
      </c>
      <c r="K16" s="6" t="s">
        <v>5</v>
      </c>
      <c r="L16" s="7">
        <v>355</v>
      </c>
      <c r="M16" s="7">
        <v>80</v>
      </c>
      <c r="N16" s="7">
        <v>0</v>
      </c>
      <c r="O16" s="7">
        <v>145</v>
      </c>
      <c r="P16" s="7">
        <v>120</v>
      </c>
      <c r="Q16" s="7">
        <v>65</v>
      </c>
      <c r="R16" s="7">
        <v>150</v>
      </c>
      <c r="S16" s="7">
        <v>145</v>
      </c>
      <c r="U16" s="6" t="s">
        <v>7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</row>
    <row r="17" spans="1:29" x14ac:dyDescent="0.25">
      <c r="A17" s="6" t="s">
        <v>6</v>
      </c>
      <c r="B17" s="7">
        <v>104</v>
      </c>
      <c r="C17" s="7">
        <v>44</v>
      </c>
      <c r="D17" s="7">
        <v>27</v>
      </c>
      <c r="E17" s="7">
        <v>0</v>
      </c>
      <c r="F17" s="7">
        <v>34</v>
      </c>
      <c r="G17" s="7">
        <v>90</v>
      </c>
      <c r="H17" s="7">
        <v>99</v>
      </c>
      <c r="I17" s="7">
        <v>25</v>
      </c>
      <c r="K17" s="6" t="s">
        <v>6</v>
      </c>
      <c r="L17" s="7">
        <v>395</v>
      </c>
      <c r="M17" s="7">
        <v>190</v>
      </c>
      <c r="N17" s="7">
        <v>140</v>
      </c>
      <c r="O17" s="7">
        <v>0</v>
      </c>
      <c r="P17" s="7">
        <v>120</v>
      </c>
      <c r="Q17" s="7">
        <v>365</v>
      </c>
      <c r="R17" s="7">
        <v>115</v>
      </c>
      <c r="S17" s="7">
        <v>105</v>
      </c>
      <c r="U17" s="6" t="s">
        <v>8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 spans="1:29" x14ac:dyDescent="0.25">
      <c r="A18" s="6" t="s">
        <v>7</v>
      </c>
      <c r="B18" s="7">
        <v>91</v>
      </c>
      <c r="C18" s="7">
        <v>29</v>
      </c>
      <c r="D18" s="7">
        <v>18</v>
      </c>
      <c r="E18" s="7">
        <v>22</v>
      </c>
      <c r="F18" s="7">
        <v>0</v>
      </c>
      <c r="G18" s="7">
        <v>51</v>
      </c>
      <c r="H18" s="7">
        <v>39</v>
      </c>
      <c r="I18" s="7">
        <v>114</v>
      </c>
      <c r="K18" s="6" t="s">
        <v>7</v>
      </c>
      <c r="L18" s="7">
        <v>240</v>
      </c>
      <c r="M18" s="7">
        <v>140</v>
      </c>
      <c r="N18" s="7">
        <v>105</v>
      </c>
      <c r="O18" s="7">
        <v>115</v>
      </c>
      <c r="P18" s="7">
        <v>0</v>
      </c>
      <c r="Q18" s="7">
        <v>80</v>
      </c>
      <c r="R18" s="7">
        <v>75</v>
      </c>
      <c r="S18" s="7">
        <v>55</v>
      </c>
      <c r="U18" s="6" t="s">
        <v>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</row>
    <row r="19" spans="1:29" x14ac:dyDescent="0.25">
      <c r="A19" s="6" t="s">
        <v>8</v>
      </c>
      <c r="B19" s="7">
        <v>89</v>
      </c>
      <c r="C19" s="7">
        <v>48</v>
      </c>
      <c r="D19" s="7">
        <v>25</v>
      </c>
      <c r="E19" s="7">
        <v>88</v>
      </c>
      <c r="F19" s="7">
        <v>50</v>
      </c>
      <c r="G19" s="7">
        <v>0</v>
      </c>
      <c r="H19" s="7">
        <v>126</v>
      </c>
      <c r="I19" s="7">
        <v>28</v>
      </c>
      <c r="K19" s="6" t="s">
        <v>8</v>
      </c>
      <c r="L19" s="7">
        <v>390</v>
      </c>
      <c r="M19" s="7">
        <v>90</v>
      </c>
      <c r="N19" s="7">
        <v>65</v>
      </c>
      <c r="O19" s="7">
        <v>320</v>
      </c>
      <c r="P19" s="7">
        <v>90</v>
      </c>
      <c r="Q19" s="7">
        <v>0</v>
      </c>
      <c r="R19" s="7">
        <v>130</v>
      </c>
      <c r="S19" s="7">
        <v>110</v>
      </c>
      <c r="U19" s="6" t="s">
        <v>10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</row>
    <row r="20" spans="1:29" x14ac:dyDescent="0.25">
      <c r="A20" s="6" t="s">
        <v>9</v>
      </c>
      <c r="B20" s="7">
        <v>146</v>
      </c>
      <c r="C20" s="7">
        <v>60</v>
      </c>
      <c r="D20" s="7">
        <v>58</v>
      </c>
      <c r="E20" s="7">
        <v>116</v>
      </c>
      <c r="F20" s="7">
        <v>59</v>
      </c>
      <c r="G20" s="7">
        <v>133</v>
      </c>
      <c r="H20" s="7">
        <v>0</v>
      </c>
      <c r="I20" s="7">
        <v>147</v>
      </c>
      <c r="K20" s="6" t="s">
        <v>9</v>
      </c>
      <c r="L20" s="7">
        <v>150</v>
      </c>
      <c r="M20" s="7">
        <v>160</v>
      </c>
      <c r="N20" s="7">
        <v>135</v>
      </c>
      <c r="O20" s="7">
        <v>105</v>
      </c>
      <c r="P20" s="7">
        <v>80</v>
      </c>
      <c r="Q20" s="7">
        <v>115</v>
      </c>
      <c r="R20" s="7">
        <v>0</v>
      </c>
      <c r="S20" s="7">
        <v>45</v>
      </c>
    </row>
    <row r="21" spans="1:29" ht="18" x14ac:dyDescent="0.35">
      <c r="A21" s="6" t="s">
        <v>10</v>
      </c>
      <c r="B21" s="7">
        <v>73</v>
      </c>
      <c r="C21" s="7">
        <v>26</v>
      </c>
      <c r="D21" s="7">
        <v>27</v>
      </c>
      <c r="E21" s="7">
        <v>19</v>
      </c>
      <c r="F21" s="7">
        <v>217</v>
      </c>
      <c r="G21" s="7">
        <v>21</v>
      </c>
      <c r="H21" s="7">
        <v>148</v>
      </c>
      <c r="I21" s="7">
        <v>0</v>
      </c>
      <c r="K21" s="6" t="s">
        <v>10</v>
      </c>
      <c r="L21" s="7">
        <v>260</v>
      </c>
      <c r="M21" s="7">
        <v>140</v>
      </c>
      <c r="N21" s="7">
        <v>120</v>
      </c>
      <c r="O21" s="7">
        <v>1.45</v>
      </c>
      <c r="P21" s="7">
        <v>60</v>
      </c>
      <c r="Q21" s="7">
        <v>105</v>
      </c>
      <c r="R21" s="7">
        <v>55</v>
      </c>
      <c r="S21" s="7">
        <v>0</v>
      </c>
      <c r="U21" s="3" t="s">
        <v>70</v>
      </c>
      <c r="V21" s="4" t="s">
        <v>3</v>
      </c>
      <c r="W21" s="4" t="s">
        <v>4</v>
      </c>
      <c r="X21" s="4" t="s">
        <v>5</v>
      </c>
      <c r="Y21" s="4" t="s">
        <v>6</v>
      </c>
      <c r="Z21" s="4" t="s">
        <v>7</v>
      </c>
      <c r="AA21" s="4" t="s">
        <v>8</v>
      </c>
      <c r="AB21" s="4" t="s">
        <v>9</v>
      </c>
      <c r="AC21" s="4" t="s">
        <v>10</v>
      </c>
    </row>
    <row r="22" spans="1:29" x14ac:dyDescent="0.25">
      <c r="T22" s="11"/>
      <c r="U22" s="6" t="s">
        <v>3</v>
      </c>
      <c r="V22" s="13">
        <v>0</v>
      </c>
      <c r="W22" s="13">
        <v>0</v>
      </c>
      <c r="X22" s="13">
        <v>1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</row>
    <row r="23" spans="1:29" x14ac:dyDescent="0.25">
      <c r="A23" s="1" t="s">
        <v>27</v>
      </c>
      <c r="K23" s="1" t="s">
        <v>33</v>
      </c>
      <c r="T23" s="11"/>
      <c r="U23" s="6" t="s">
        <v>4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</row>
    <row r="24" spans="1:29" x14ac:dyDescent="0.25">
      <c r="A24" s="3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10</v>
      </c>
      <c r="K24" s="3" t="s">
        <v>24</v>
      </c>
      <c r="L24" s="4" t="s">
        <v>3</v>
      </c>
      <c r="M24" s="4" t="s">
        <v>4</v>
      </c>
      <c r="N24" s="4" t="s">
        <v>5</v>
      </c>
      <c r="O24" s="4" t="s">
        <v>6</v>
      </c>
      <c r="P24" s="4" t="s">
        <v>7</v>
      </c>
      <c r="Q24" s="4" t="s">
        <v>8</v>
      </c>
      <c r="R24" s="4" t="s">
        <v>9</v>
      </c>
      <c r="S24" s="4" t="s">
        <v>10</v>
      </c>
      <c r="T24" s="11"/>
      <c r="U24" s="6" t="s">
        <v>5</v>
      </c>
      <c r="V24" s="13">
        <v>0</v>
      </c>
      <c r="W24" s="13">
        <v>0</v>
      </c>
      <c r="X24" s="13">
        <v>0</v>
      </c>
      <c r="Y24" s="13">
        <v>1</v>
      </c>
      <c r="Z24" s="13">
        <v>0</v>
      </c>
      <c r="AA24" s="13">
        <v>0</v>
      </c>
      <c r="AB24" s="13">
        <v>0</v>
      </c>
      <c r="AC24" s="13">
        <v>0</v>
      </c>
    </row>
    <row r="25" spans="1:29" x14ac:dyDescent="0.25">
      <c r="A25" s="6" t="s">
        <v>3</v>
      </c>
      <c r="B25" s="7">
        <v>0</v>
      </c>
      <c r="C25" s="7">
        <v>104</v>
      </c>
      <c r="D25" s="7">
        <v>82.25</v>
      </c>
      <c r="E25" s="7">
        <v>65.790000000000006</v>
      </c>
      <c r="F25" s="7">
        <v>79.900000000000006</v>
      </c>
      <c r="G25" s="7">
        <v>23.09</v>
      </c>
      <c r="H25" s="7">
        <v>93.8</v>
      </c>
      <c r="I25" s="7">
        <v>90.9</v>
      </c>
      <c r="K25" s="6" t="s">
        <v>3</v>
      </c>
      <c r="L25" s="7">
        <v>0</v>
      </c>
      <c r="M25" s="7">
        <v>982</v>
      </c>
      <c r="N25" s="7">
        <v>774</v>
      </c>
      <c r="O25" s="7">
        <v>767</v>
      </c>
      <c r="P25" s="7">
        <v>624</v>
      </c>
      <c r="Q25" s="7">
        <v>492</v>
      </c>
      <c r="R25" s="7">
        <v>851</v>
      </c>
      <c r="S25" s="7">
        <v>710</v>
      </c>
      <c r="U25" s="6" t="s">
        <v>6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1</v>
      </c>
    </row>
    <row r="26" spans="1:29" x14ac:dyDescent="0.25">
      <c r="A26" s="6" t="s">
        <v>4</v>
      </c>
      <c r="B26" s="7">
        <v>105</v>
      </c>
      <c r="C26" s="7">
        <v>0</v>
      </c>
      <c r="D26" s="7">
        <v>18</v>
      </c>
      <c r="E26" s="7">
        <v>179.13</v>
      </c>
      <c r="F26" s="7">
        <v>94</v>
      </c>
      <c r="G26" s="7">
        <v>92.7</v>
      </c>
      <c r="H26" s="7">
        <v>212</v>
      </c>
      <c r="I26" s="7">
        <v>177</v>
      </c>
      <c r="K26" s="6" t="s">
        <v>4</v>
      </c>
      <c r="L26" s="7">
        <v>1049</v>
      </c>
      <c r="M26" s="7">
        <v>0</v>
      </c>
      <c r="N26" s="7">
        <v>165</v>
      </c>
      <c r="O26" s="7">
        <v>1482</v>
      </c>
      <c r="P26" s="7">
        <v>676</v>
      </c>
      <c r="Q26" s="7">
        <v>606</v>
      </c>
      <c r="R26" s="7">
        <v>879</v>
      </c>
      <c r="S26" s="7">
        <v>762</v>
      </c>
      <c r="U26" s="6" t="s">
        <v>7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</row>
    <row r="27" spans="1:29" x14ac:dyDescent="0.25">
      <c r="A27" s="6" t="s">
        <v>5</v>
      </c>
      <c r="B27" s="7">
        <v>61</v>
      </c>
      <c r="C27" s="7">
        <v>15</v>
      </c>
      <c r="D27" s="7">
        <v>0</v>
      </c>
      <c r="E27" s="7">
        <v>121.88</v>
      </c>
      <c r="F27" s="7">
        <v>69</v>
      </c>
      <c r="G27" s="7">
        <v>24.69</v>
      </c>
      <c r="H27" s="7">
        <v>103.99</v>
      </c>
      <c r="I27" s="7">
        <v>158</v>
      </c>
      <c r="K27" s="6" t="s">
        <v>5</v>
      </c>
      <c r="L27" s="7">
        <v>845</v>
      </c>
      <c r="M27" s="7">
        <v>150</v>
      </c>
      <c r="N27" s="7">
        <v>0</v>
      </c>
      <c r="O27" s="7">
        <v>1632</v>
      </c>
      <c r="P27" s="7">
        <v>409</v>
      </c>
      <c r="Q27" s="7">
        <v>516</v>
      </c>
      <c r="R27" s="7">
        <v>946</v>
      </c>
      <c r="S27" s="7">
        <v>554</v>
      </c>
      <c r="U27" s="6" t="s">
        <v>8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</row>
    <row r="28" spans="1:29" x14ac:dyDescent="0.25">
      <c r="A28" s="6" t="s">
        <v>6</v>
      </c>
      <c r="B28" s="7">
        <v>67.3</v>
      </c>
      <c r="C28" s="7">
        <v>148.9</v>
      </c>
      <c r="D28" s="7">
        <v>157.9</v>
      </c>
      <c r="E28" s="7">
        <v>0</v>
      </c>
      <c r="F28" s="7">
        <v>76.900000000000006</v>
      </c>
      <c r="G28" s="7">
        <v>98.9</v>
      </c>
      <c r="H28" s="7">
        <v>51.89</v>
      </c>
      <c r="I28" s="7">
        <v>99.9</v>
      </c>
      <c r="K28" s="6" t="s">
        <v>6</v>
      </c>
      <c r="L28" s="7">
        <v>855</v>
      </c>
      <c r="M28" s="7">
        <v>1665</v>
      </c>
      <c r="N28" s="7">
        <v>1497</v>
      </c>
      <c r="O28" s="7">
        <v>0</v>
      </c>
      <c r="P28" s="7">
        <v>638</v>
      </c>
      <c r="Q28" s="7">
        <v>1253</v>
      </c>
      <c r="R28" s="7">
        <v>741</v>
      </c>
      <c r="S28" s="7">
        <v>622</v>
      </c>
      <c r="U28" s="6" t="s">
        <v>9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</row>
    <row r="29" spans="1:29" x14ac:dyDescent="0.25">
      <c r="A29" s="6" t="s">
        <v>7</v>
      </c>
      <c r="B29" s="7">
        <v>61.9</v>
      </c>
      <c r="C29" s="7">
        <v>67.599999999999994</v>
      </c>
      <c r="D29" s="7">
        <v>106</v>
      </c>
      <c r="E29" s="7">
        <v>63.89</v>
      </c>
      <c r="F29" s="7">
        <v>0</v>
      </c>
      <c r="G29" s="7">
        <v>19</v>
      </c>
      <c r="H29" s="7">
        <v>48</v>
      </c>
      <c r="I29" s="7">
        <v>29</v>
      </c>
      <c r="K29" s="6" t="s">
        <v>7</v>
      </c>
      <c r="L29" s="7">
        <v>590</v>
      </c>
      <c r="M29" s="7">
        <v>744</v>
      </c>
      <c r="N29" s="7">
        <v>416</v>
      </c>
      <c r="O29" s="7">
        <v>627</v>
      </c>
      <c r="P29" s="7">
        <v>0</v>
      </c>
      <c r="Q29" s="7">
        <v>203</v>
      </c>
      <c r="R29" s="7">
        <v>199</v>
      </c>
      <c r="S29" s="7">
        <v>82</v>
      </c>
      <c r="U29" s="6" t="s">
        <v>10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1</v>
      </c>
      <c r="AB29" s="13">
        <v>0</v>
      </c>
      <c r="AC29" s="13">
        <v>0</v>
      </c>
    </row>
    <row r="30" spans="1:29" x14ac:dyDescent="0.25">
      <c r="A30" s="6" t="s">
        <v>8</v>
      </c>
      <c r="B30" s="7">
        <v>28.19</v>
      </c>
      <c r="C30" s="7">
        <v>115.5</v>
      </c>
      <c r="D30" s="7">
        <v>58</v>
      </c>
      <c r="E30" s="7">
        <v>101.89</v>
      </c>
      <c r="F30" s="7">
        <v>29</v>
      </c>
      <c r="G30" s="7">
        <v>0</v>
      </c>
      <c r="H30" s="7">
        <v>89</v>
      </c>
      <c r="I30" s="7">
        <v>20.99</v>
      </c>
      <c r="K30" s="6" t="s">
        <v>8</v>
      </c>
      <c r="L30" s="7">
        <v>492</v>
      </c>
      <c r="M30" s="7">
        <v>526</v>
      </c>
      <c r="N30" s="7">
        <v>358</v>
      </c>
      <c r="O30" s="7">
        <v>1307</v>
      </c>
      <c r="P30" s="7">
        <v>206</v>
      </c>
      <c r="Q30" s="7">
        <v>0</v>
      </c>
      <c r="R30" s="7">
        <v>460</v>
      </c>
      <c r="S30" s="7">
        <v>488</v>
      </c>
    </row>
    <row r="31" spans="1:29" x14ac:dyDescent="0.25">
      <c r="A31" s="6" t="s">
        <v>9</v>
      </c>
      <c r="B31" s="7">
        <v>120.8</v>
      </c>
      <c r="C31" s="7">
        <v>165.99</v>
      </c>
      <c r="D31" s="7">
        <v>147</v>
      </c>
      <c r="E31" s="7">
        <v>51.89</v>
      </c>
      <c r="F31" s="7">
        <v>35</v>
      </c>
      <c r="G31" s="7">
        <v>84</v>
      </c>
      <c r="H31" s="7">
        <v>0</v>
      </c>
      <c r="I31" s="7">
        <v>29</v>
      </c>
      <c r="K31" s="6" t="s">
        <v>9</v>
      </c>
      <c r="L31" s="7">
        <v>816</v>
      </c>
      <c r="M31" s="7">
        <v>1237</v>
      </c>
      <c r="N31" s="7">
        <v>670</v>
      </c>
      <c r="O31" s="7">
        <v>792</v>
      </c>
      <c r="P31" s="7">
        <v>200</v>
      </c>
      <c r="Q31" s="7">
        <v>461</v>
      </c>
      <c r="R31" s="7">
        <v>0</v>
      </c>
      <c r="S31" s="7">
        <v>113</v>
      </c>
    </row>
    <row r="32" spans="1:29" x14ac:dyDescent="0.25">
      <c r="A32" s="6" t="s">
        <v>10</v>
      </c>
      <c r="B32" s="7">
        <v>80.900000000000006</v>
      </c>
      <c r="C32" s="7">
        <v>160</v>
      </c>
      <c r="D32" s="7">
        <v>135</v>
      </c>
      <c r="E32" s="7">
        <v>79.900000000000006</v>
      </c>
      <c r="F32" s="7">
        <v>29</v>
      </c>
      <c r="G32" s="7">
        <v>70</v>
      </c>
      <c r="H32" s="7">
        <v>29</v>
      </c>
      <c r="I32" s="7">
        <v>0</v>
      </c>
      <c r="K32" s="6" t="s">
        <v>10</v>
      </c>
      <c r="L32" s="7">
        <v>648</v>
      </c>
      <c r="M32" s="7">
        <v>807</v>
      </c>
      <c r="N32" s="7">
        <v>591</v>
      </c>
      <c r="O32" s="7">
        <v>624</v>
      </c>
      <c r="P32" s="7">
        <v>83</v>
      </c>
      <c r="Q32" s="7">
        <v>340</v>
      </c>
      <c r="R32" s="7">
        <v>112</v>
      </c>
      <c r="S32" s="7">
        <v>0</v>
      </c>
      <c r="U32" s="5" t="s">
        <v>11</v>
      </c>
    </row>
    <row r="33" spans="4:21" x14ac:dyDescent="0.25">
      <c r="U33" s="8">
        <f>SUMPRODUCT(B3:I10,V2:AC9)+SUMPRODUCT(B25:I32,V12:AC19)+SUMPRODUCT(B14:I21,V22:AC29)</f>
        <v>163</v>
      </c>
    </row>
    <row r="35" spans="4:21" x14ac:dyDescent="0.25">
      <c r="D35" s="2" t="s">
        <v>1</v>
      </c>
      <c r="E35" s="3" t="s">
        <v>12</v>
      </c>
      <c r="J35" s="3" t="s">
        <v>30</v>
      </c>
      <c r="O35" s="3" t="s">
        <v>66</v>
      </c>
    </row>
    <row r="36" spans="4:21" x14ac:dyDescent="0.25">
      <c r="E36" s="9">
        <f>SUMPRODUCT(L3:S10,V2:AC9)+SUMPRODUCT(V12:AC19,L25:S32)+SUMPRODUCT(L14:S21,V22:AC29)</f>
        <v>754</v>
      </c>
      <c r="F36" s="10" t="s">
        <v>13</v>
      </c>
      <c r="G36" s="7">
        <v>800</v>
      </c>
      <c r="J36" t="s">
        <v>31</v>
      </c>
      <c r="K36" s="9">
        <f>SUM(W2,W12,W22,V3,V13,V23)</f>
        <v>0</v>
      </c>
      <c r="L36" s="10" t="s">
        <v>13</v>
      </c>
      <c r="M36" s="7">
        <v>1</v>
      </c>
      <c r="O36" t="s">
        <v>19</v>
      </c>
      <c r="P36" s="9">
        <f>SUM(V5:AC5,V15:AC15,V25:AC25)</f>
        <v>1</v>
      </c>
      <c r="Q36" s="10" t="s">
        <v>16</v>
      </c>
      <c r="R36" s="7">
        <v>1</v>
      </c>
    </row>
    <row r="37" spans="4:21" x14ac:dyDescent="0.25">
      <c r="J37" t="s">
        <v>32</v>
      </c>
      <c r="K37" s="9">
        <f>SUM(X2,V4,X12,V14,X22,V24)</f>
        <v>1</v>
      </c>
      <c r="L37" s="10" t="s">
        <v>13</v>
      </c>
      <c r="M37" s="7">
        <v>1</v>
      </c>
    </row>
    <row r="38" spans="4:21" x14ac:dyDescent="0.25">
      <c r="E38" s="3" t="s">
        <v>14</v>
      </c>
      <c r="J38" t="s">
        <v>34</v>
      </c>
      <c r="K38" s="9">
        <f>SUM(Y2,Y12,Y22,V5,V15,V25)</f>
        <v>0</v>
      </c>
      <c r="L38" s="10" t="s">
        <v>13</v>
      </c>
      <c r="M38" s="7">
        <v>1</v>
      </c>
    </row>
    <row r="39" spans="4:21" x14ac:dyDescent="0.25">
      <c r="E39" s="11" t="s">
        <v>15</v>
      </c>
      <c r="F39" s="9">
        <f t="shared" ref="F39:F46" si="0">SUM(V2:AC2)+SUM(V12:AC12)+SUM(V22:AC22)</f>
        <v>1</v>
      </c>
      <c r="G39" s="12" t="s">
        <v>16</v>
      </c>
      <c r="H39" s="7">
        <v>1</v>
      </c>
      <c r="J39" t="s">
        <v>35</v>
      </c>
      <c r="K39" s="9">
        <f>SUM(Z2,Z12,Z22,V16,V26,V6)</f>
        <v>0</v>
      </c>
      <c r="L39" s="10" t="s">
        <v>13</v>
      </c>
      <c r="M39" s="7">
        <v>1</v>
      </c>
    </row>
    <row r="40" spans="4:21" x14ac:dyDescent="0.25">
      <c r="E40" s="11" t="s">
        <v>17</v>
      </c>
      <c r="F40" s="9">
        <f t="shared" si="0"/>
        <v>0</v>
      </c>
      <c r="G40" s="10" t="s">
        <v>13</v>
      </c>
      <c r="H40" s="7">
        <v>1</v>
      </c>
      <c r="J40" t="s">
        <v>36</v>
      </c>
      <c r="K40" s="9">
        <f>SUM(AA2,AA12,AA22,V27,V17,V7)</f>
        <v>1</v>
      </c>
      <c r="L40" s="10" t="s">
        <v>13</v>
      </c>
      <c r="M40" s="7">
        <v>1</v>
      </c>
    </row>
    <row r="41" spans="4:21" x14ac:dyDescent="0.25">
      <c r="E41" s="11" t="s">
        <v>18</v>
      </c>
      <c r="F41" s="9">
        <f t="shared" si="0"/>
        <v>1</v>
      </c>
      <c r="G41" s="10" t="s">
        <v>13</v>
      </c>
      <c r="H41" s="7">
        <v>1</v>
      </c>
      <c r="J41" t="s">
        <v>37</v>
      </c>
      <c r="K41" s="9">
        <f>SUM(AB2,AB12,AB22,V8,V18,V28)</f>
        <v>0</v>
      </c>
      <c r="L41" s="10" t="s">
        <v>13</v>
      </c>
      <c r="M41" s="7">
        <v>1</v>
      </c>
    </row>
    <row r="42" spans="4:21" x14ac:dyDescent="0.25">
      <c r="E42" s="11" t="s">
        <v>19</v>
      </c>
      <c r="F42" s="9">
        <f t="shared" si="0"/>
        <v>1</v>
      </c>
      <c r="G42" s="10" t="s">
        <v>13</v>
      </c>
      <c r="H42" s="7">
        <v>1</v>
      </c>
      <c r="J42" t="s">
        <v>38</v>
      </c>
      <c r="K42" s="9">
        <f>SUM(AC2,AC12,AC22,V9,V19,V29)</f>
        <v>0</v>
      </c>
      <c r="L42" s="10" t="s">
        <v>13</v>
      </c>
      <c r="M42" s="7">
        <v>1</v>
      </c>
    </row>
    <row r="43" spans="4:21" x14ac:dyDescent="0.25">
      <c r="E43" s="11" t="s">
        <v>20</v>
      </c>
      <c r="F43" s="9">
        <f t="shared" si="0"/>
        <v>0</v>
      </c>
      <c r="G43" s="10" t="s">
        <v>13</v>
      </c>
      <c r="H43" s="7">
        <v>1</v>
      </c>
      <c r="J43" t="s">
        <v>39</v>
      </c>
      <c r="K43" s="9">
        <f>SUM(W4,W14,W24,X23,X13,X3)</f>
        <v>0</v>
      </c>
      <c r="L43" s="10" t="s">
        <v>13</v>
      </c>
      <c r="M43" s="7">
        <v>1</v>
      </c>
    </row>
    <row r="44" spans="4:21" x14ac:dyDescent="0.25">
      <c r="E44" s="11" t="s">
        <v>21</v>
      </c>
      <c r="F44" s="9">
        <f t="shared" si="0"/>
        <v>1</v>
      </c>
      <c r="G44" s="10" t="s">
        <v>13</v>
      </c>
      <c r="H44" s="7">
        <v>1</v>
      </c>
      <c r="J44" t="s">
        <v>40</v>
      </c>
      <c r="K44" s="9">
        <f>SUM(Y3,Y13,Y23,W25,W15,W5)</f>
        <v>0</v>
      </c>
      <c r="L44" s="10" t="s">
        <v>13</v>
      </c>
      <c r="M44" s="7">
        <v>1</v>
      </c>
    </row>
    <row r="45" spans="4:21" x14ac:dyDescent="0.25">
      <c r="E45" s="11" t="s">
        <v>23</v>
      </c>
      <c r="F45" s="9">
        <f t="shared" si="0"/>
        <v>0</v>
      </c>
      <c r="G45" s="10" t="s">
        <v>13</v>
      </c>
      <c r="H45" s="7">
        <v>1</v>
      </c>
      <c r="J45" t="s">
        <v>41</v>
      </c>
      <c r="K45" s="9">
        <f>SUM(Z3,Z13,Z23,W6,W16,W26)</f>
        <v>0</v>
      </c>
      <c r="L45" s="10" t="s">
        <v>13</v>
      </c>
      <c r="M45" s="7">
        <v>1</v>
      </c>
    </row>
    <row r="46" spans="4:21" x14ac:dyDescent="0.25">
      <c r="E46" s="11" t="s">
        <v>25</v>
      </c>
      <c r="F46" s="9">
        <f t="shared" si="0"/>
        <v>1</v>
      </c>
      <c r="G46" s="10" t="s">
        <v>13</v>
      </c>
      <c r="H46" s="7">
        <v>1</v>
      </c>
      <c r="J46" t="s">
        <v>42</v>
      </c>
      <c r="K46" s="9">
        <f>SUM(AA3,AA13,AA23,W27,W17,W7)</f>
        <v>0</v>
      </c>
      <c r="L46" s="10" t="s">
        <v>13</v>
      </c>
      <c r="M46" s="7">
        <v>1</v>
      </c>
    </row>
    <row r="47" spans="4:21" x14ac:dyDescent="0.25">
      <c r="J47" t="s">
        <v>43</v>
      </c>
      <c r="K47" s="9">
        <f>SUM(AB3,AB13,AB23,W28,W18,W8)</f>
        <v>0</v>
      </c>
      <c r="L47" s="10" t="s">
        <v>13</v>
      </c>
      <c r="M47" s="7">
        <v>1</v>
      </c>
    </row>
    <row r="48" spans="4:21" x14ac:dyDescent="0.25">
      <c r="E48" s="5" t="s">
        <v>26</v>
      </c>
      <c r="F48" s="11"/>
      <c r="J48" t="s">
        <v>44</v>
      </c>
      <c r="K48" s="9">
        <f>SUM(AC3,AC13,AC23,W29,W19,W9)</f>
        <v>0</v>
      </c>
      <c r="L48" s="10" t="s">
        <v>13</v>
      </c>
      <c r="M48" s="7">
        <v>1</v>
      </c>
    </row>
    <row r="49" spans="5:13" x14ac:dyDescent="0.25">
      <c r="E49" s="11" t="s">
        <v>15</v>
      </c>
      <c r="F49" s="9">
        <f t="shared" ref="F49:F56" si="1">SUM(V2:AC2)+SUM(V12:AC12)+SUM(V22:AC22)</f>
        <v>1</v>
      </c>
      <c r="G49" s="12" t="s">
        <v>16</v>
      </c>
      <c r="H49" s="9">
        <f>SUM(V2:V9)+SUM(V12:V19)+SUM(V22:V29)</f>
        <v>1</v>
      </c>
      <c r="J49" t="s">
        <v>46</v>
      </c>
      <c r="K49" s="9">
        <f>SUM(Y4,Y14,Y24,X25,X15,X5)</f>
        <v>1</v>
      </c>
      <c r="L49" s="10" t="s">
        <v>13</v>
      </c>
      <c r="M49" s="7">
        <v>1</v>
      </c>
    </row>
    <row r="50" spans="5:13" x14ac:dyDescent="0.25">
      <c r="E50" s="11" t="s">
        <v>17</v>
      </c>
      <c r="F50" s="9">
        <f t="shared" si="1"/>
        <v>0</v>
      </c>
      <c r="G50" s="12" t="s">
        <v>16</v>
      </c>
      <c r="H50" s="9">
        <f>SUM(W2:W9)+SUM(W12:W19)+SUM(W22:W29)</f>
        <v>0</v>
      </c>
      <c r="J50" t="s">
        <v>47</v>
      </c>
      <c r="K50" s="9">
        <f>SUM(Z4,Z14,Z24,X26,X16,X6)</f>
        <v>0</v>
      </c>
      <c r="L50" s="10" t="s">
        <v>13</v>
      </c>
      <c r="M50" s="7">
        <v>1</v>
      </c>
    </row>
    <row r="51" spans="5:13" x14ac:dyDescent="0.25">
      <c r="E51" s="11" t="s">
        <v>18</v>
      </c>
      <c r="F51" s="9">
        <f t="shared" si="1"/>
        <v>1</v>
      </c>
      <c r="G51" s="12" t="s">
        <v>16</v>
      </c>
      <c r="H51" s="9">
        <f>SUM(X2:X9)+SUM(X12:X19)+SUM(X22:X29)</f>
        <v>1</v>
      </c>
      <c r="J51" t="s">
        <v>48</v>
      </c>
      <c r="K51" s="9">
        <f>SUM(AA4,AA14,AA24,X27,X17,X7)</f>
        <v>0</v>
      </c>
      <c r="L51" s="10" t="s">
        <v>13</v>
      </c>
      <c r="M51" s="7">
        <v>1</v>
      </c>
    </row>
    <row r="52" spans="5:13" x14ac:dyDescent="0.25">
      <c r="E52" s="11" t="s">
        <v>19</v>
      </c>
      <c r="F52" s="9">
        <f t="shared" si="1"/>
        <v>1</v>
      </c>
      <c r="G52" s="12" t="s">
        <v>16</v>
      </c>
      <c r="H52" s="9">
        <f>SUM(Y2:Y9)+SUM(Y12:Y19)+SUM(Y22:Y29)</f>
        <v>1</v>
      </c>
      <c r="J52" t="s">
        <v>49</v>
      </c>
      <c r="K52" s="9">
        <f>SUM(AB4,AB14,AB24,X28,X18,X8)</f>
        <v>0</v>
      </c>
      <c r="L52" s="10" t="s">
        <v>13</v>
      </c>
      <c r="M52" s="7">
        <v>1</v>
      </c>
    </row>
    <row r="53" spans="5:13" x14ac:dyDescent="0.25">
      <c r="E53" s="11" t="s">
        <v>20</v>
      </c>
      <c r="F53" s="9">
        <f t="shared" si="1"/>
        <v>0</v>
      </c>
      <c r="G53" s="12" t="s">
        <v>16</v>
      </c>
      <c r="H53" s="9">
        <f>SUM(Z2:Z9)+SUM(Z12:Z19)+SUM(Z22:Z29)</f>
        <v>0</v>
      </c>
      <c r="J53" t="s">
        <v>50</v>
      </c>
      <c r="K53" s="9">
        <f>SUM(AC4,AC14,AC24,X19,X9,X29)</f>
        <v>0</v>
      </c>
      <c r="L53" s="10" t="s">
        <v>13</v>
      </c>
      <c r="M53" s="7">
        <v>1</v>
      </c>
    </row>
    <row r="54" spans="5:13" x14ac:dyDescent="0.25">
      <c r="E54" s="11" t="s">
        <v>21</v>
      </c>
      <c r="F54" s="9">
        <f t="shared" si="1"/>
        <v>1</v>
      </c>
      <c r="G54" s="12" t="s">
        <v>16</v>
      </c>
      <c r="H54" s="9">
        <f>SUM(AA2:AA9)+SUM(AA12:AA19)+SUM(AA22:AA29)</f>
        <v>1</v>
      </c>
      <c r="J54" t="s">
        <v>51</v>
      </c>
      <c r="K54" s="9">
        <f>SUM(Z5,Z15,Z25,Y26,Y16,Y6)</f>
        <v>0</v>
      </c>
      <c r="L54" s="10" t="s">
        <v>13</v>
      </c>
      <c r="M54" s="7">
        <v>1</v>
      </c>
    </row>
    <row r="55" spans="5:13" x14ac:dyDescent="0.25">
      <c r="E55" s="11" t="s">
        <v>23</v>
      </c>
      <c r="F55" s="9">
        <f t="shared" si="1"/>
        <v>0</v>
      </c>
      <c r="G55" s="12" t="s">
        <v>16</v>
      </c>
      <c r="H55" s="9">
        <f>SUM(AB2:AB9)+SUM(AB12:AB19)+SUM(AB22:AB29)</f>
        <v>0</v>
      </c>
      <c r="J55" t="s">
        <v>52</v>
      </c>
      <c r="K55" s="9">
        <f>SUM(AA5,AA15,AA25,Y27,Y17,Y7)</f>
        <v>0</v>
      </c>
      <c r="L55" s="10" t="s">
        <v>13</v>
      </c>
      <c r="M55" s="7">
        <v>1</v>
      </c>
    </row>
    <row r="56" spans="5:13" x14ac:dyDescent="0.25">
      <c r="E56" s="11" t="s">
        <v>25</v>
      </c>
      <c r="F56" s="9">
        <f t="shared" si="1"/>
        <v>1</v>
      </c>
      <c r="G56" s="12" t="s">
        <v>16</v>
      </c>
      <c r="H56" s="9">
        <f>SUM(AC2:AC9)+SUM(AC12:AC19)+SUM(AC22:AC29)</f>
        <v>1</v>
      </c>
      <c r="J56" t="s">
        <v>53</v>
      </c>
      <c r="K56" s="9">
        <f>SUM(AB5,AB15,AB25,Y28,Y18,Y8)</f>
        <v>0</v>
      </c>
      <c r="L56" s="10" t="s">
        <v>13</v>
      </c>
      <c r="M56" s="7">
        <v>1</v>
      </c>
    </row>
    <row r="57" spans="5:13" x14ac:dyDescent="0.25">
      <c r="J57" t="s">
        <v>54</v>
      </c>
      <c r="K57" s="9">
        <f>SUM(AC5,AC15,AC25,Y29,Y19,Y9)</f>
        <v>1</v>
      </c>
      <c r="L57" s="10" t="s">
        <v>13</v>
      </c>
      <c r="M57" s="7">
        <v>1</v>
      </c>
    </row>
    <row r="58" spans="5:13" x14ac:dyDescent="0.25">
      <c r="E58" s="5" t="s">
        <v>28</v>
      </c>
      <c r="J58" t="s">
        <v>55</v>
      </c>
      <c r="K58" s="9">
        <f>SUM(AA6,AA16,AA26,Z27,Z17,Z7)</f>
        <v>0</v>
      </c>
      <c r="L58" s="10" t="s">
        <v>13</v>
      </c>
      <c r="M58" s="7">
        <v>1</v>
      </c>
    </row>
    <row r="59" spans="5:13" x14ac:dyDescent="0.25">
      <c r="E59" s="9">
        <f>SUM(V2,W3,X4,Y5,Z6,AA7,AB8,AC9,V12,W13,X14,Y15,Z16,AA17,AB18,AC19,V22,W23,X24,Y25,Z26,AA27,AB28,AC29)</f>
        <v>0</v>
      </c>
      <c r="F59" s="12" t="s">
        <v>16</v>
      </c>
      <c r="G59" s="7">
        <v>0</v>
      </c>
      <c r="J59" t="s">
        <v>56</v>
      </c>
      <c r="K59" s="9">
        <f>SUM(AB6,AB16,AB26,Z28,Z18,Z8)</f>
        <v>0</v>
      </c>
      <c r="L59" s="10" t="s">
        <v>13</v>
      </c>
      <c r="M59" s="7">
        <v>1</v>
      </c>
    </row>
    <row r="60" spans="5:13" x14ac:dyDescent="0.25">
      <c r="J60" t="s">
        <v>58</v>
      </c>
      <c r="K60" s="9">
        <f>SUM(AC6,AC16,AC26,Z29,Z19,Z9)</f>
        <v>0</v>
      </c>
      <c r="L60" s="10" t="s">
        <v>13</v>
      </c>
      <c r="M60" s="7">
        <v>1</v>
      </c>
    </row>
    <row r="61" spans="5:13" x14ac:dyDescent="0.25">
      <c r="E61" s="3" t="s">
        <v>29</v>
      </c>
      <c r="J61" t="s">
        <v>59</v>
      </c>
      <c r="K61" s="9">
        <f>SUM(AB7,AB17,AB27,AA28,AA18,AA8)</f>
        <v>0</v>
      </c>
      <c r="L61" s="10" t="s">
        <v>13</v>
      </c>
      <c r="M61" s="7">
        <v>1</v>
      </c>
    </row>
    <row r="62" spans="5:13" x14ac:dyDescent="0.25">
      <c r="E62" s="9">
        <f>SUM(V2:AC9)+SUM(V12:AC19)+SUM(V22:AC29)</f>
        <v>5</v>
      </c>
      <c r="F62" s="12" t="s">
        <v>16</v>
      </c>
      <c r="G62" s="7">
        <v>5</v>
      </c>
      <c r="J62" t="s">
        <v>60</v>
      </c>
      <c r="K62" s="9">
        <f>SUM(AC7,AC17,AC27,AA29,AA19,AA9)</f>
        <v>1</v>
      </c>
      <c r="L62" s="10" t="s">
        <v>13</v>
      </c>
      <c r="M62" s="7">
        <v>1</v>
      </c>
    </row>
    <row r="63" spans="5:13" x14ac:dyDescent="0.25">
      <c r="J63" t="s">
        <v>61</v>
      </c>
      <c r="K63" s="9">
        <f>SUM(AC8,AC18,AC28,AB29,AB19,AB9)</f>
        <v>0</v>
      </c>
      <c r="L63" s="10" t="s">
        <v>13</v>
      </c>
      <c r="M63" s="7">
        <v>1</v>
      </c>
    </row>
    <row r="66" spans="1:1" x14ac:dyDescent="0.25">
      <c r="A66" s="6"/>
    </row>
  </sheetData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1ACB-E3F7-4F4C-A0EC-F3BEA782DCA7}">
  <dimension ref="A1:AC66"/>
  <sheetViews>
    <sheetView topLeftCell="F1" zoomScale="70" zoomScaleNormal="70" workbookViewId="0">
      <selection activeCell="U40" sqref="U40"/>
    </sheetView>
  </sheetViews>
  <sheetFormatPr defaultRowHeight="15" x14ac:dyDescent="0.25"/>
  <cols>
    <col min="1" max="1" width="20.140625" bestFit="1" customWidth="1"/>
    <col min="2" max="2" width="10.28515625" bestFit="1" customWidth="1"/>
    <col min="3" max="3" width="10" bestFit="1" customWidth="1"/>
    <col min="4" max="4" width="15.28515625" bestFit="1" customWidth="1"/>
    <col min="5" max="5" width="9.28515625" bestFit="1" customWidth="1"/>
    <col min="6" max="6" width="8.28515625" bestFit="1" customWidth="1"/>
    <col min="7" max="7" width="12.7109375" bestFit="1" customWidth="1"/>
    <col min="8" max="8" width="15.28515625" bestFit="1" customWidth="1"/>
    <col min="9" max="9" width="13.28515625" bestFit="1" customWidth="1"/>
    <col min="10" max="10" width="20.7109375" customWidth="1"/>
    <col min="11" max="11" width="20.140625" bestFit="1" customWidth="1"/>
    <col min="12" max="12" width="10.28515625" bestFit="1" customWidth="1"/>
    <col min="13" max="13" width="10" bestFit="1" customWidth="1"/>
    <col min="14" max="14" width="15.28515625" bestFit="1" customWidth="1"/>
    <col min="15" max="15" width="9.28515625" bestFit="1" customWidth="1"/>
    <col min="16" max="16" width="8.28515625" bestFit="1" customWidth="1"/>
    <col min="17" max="17" width="12.7109375" bestFit="1" customWidth="1"/>
    <col min="18" max="18" width="15.28515625" bestFit="1" customWidth="1"/>
    <col min="19" max="19" width="13.28515625" bestFit="1" customWidth="1"/>
    <col min="20" max="20" width="20.7109375" customWidth="1"/>
    <col min="21" max="21" width="19.7109375" bestFit="1" customWidth="1"/>
    <col min="22" max="22" width="10.28515625" bestFit="1" customWidth="1"/>
    <col min="23" max="23" width="10" bestFit="1" customWidth="1"/>
    <col min="24" max="24" width="15.28515625" bestFit="1" customWidth="1"/>
    <col min="25" max="25" width="9.28515625" bestFit="1" customWidth="1"/>
    <col min="26" max="26" width="8.28515625" bestFit="1" customWidth="1"/>
    <col min="27" max="27" width="12.7109375" bestFit="1" customWidth="1"/>
    <col min="28" max="28" width="15.28515625" bestFit="1" customWidth="1"/>
    <col min="29" max="29" width="13.28515625" bestFit="1" customWidth="1"/>
  </cols>
  <sheetData>
    <row r="1" spans="1:29" ht="18" x14ac:dyDescent="0.35">
      <c r="A1" s="1" t="s">
        <v>0</v>
      </c>
      <c r="K1" s="1" t="s">
        <v>22</v>
      </c>
      <c r="U1" s="3" t="s">
        <v>72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9</v>
      </c>
      <c r="AC1" s="4" t="s">
        <v>10</v>
      </c>
    </row>
    <row r="2" spans="1:29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K2" s="3" t="s">
        <v>24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U2" s="6" t="s">
        <v>3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</row>
    <row r="3" spans="1:29" ht="14.45" customHeight="1" x14ac:dyDescent="0.25">
      <c r="A3" s="6" t="s">
        <v>3</v>
      </c>
      <c r="B3" s="7">
        <v>0</v>
      </c>
      <c r="C3" s="7">
        <v>61</v>
      </c>
      <c r="D3" s="7">
        <v>28</v>
      </c>
      <c r="E3" s="7">
        <v>46</v>
      </c>
      <c r="F3" s="7">
        <v>38</v>
      </c>
      <c r="G3" s="7">
        <v>17</v>
      </c>
      <c r="H3" s="7">
        <v>44</v>
      </c>
      <c r="I3" s="7">
        <v>49</v>
      </c>
      <c r="K3" s="6" t="s">
        <v>3</v>
      </c>
      <c r="L3" s="7">
        <v>0</v>
      </c>
      <c r="M3" s="7">
        <v>1280</v>
      </c>
      <c r="N3" s="7">
        <v>760</v>
      </c>
      <c r="O3" s="7">
        <v>1020</v>
      </c>
      <c r="P3" s="7">
        <v>800</v>
      </c>
      <c r="Q3" s="7">
        <v>360</v>
      </c>
      <c r="R3" s="7">
        <v>1320</v>
      </c>
      <c r="S3" s="7">
        <v>1010</v>
      </c>
      <c r="U3" s="6" t="s">
        <v>4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</row>
    <row r="4" spans="1:29" x14ac:dyDescent="0.25">
      <c r="A4" s="6" t="s">
        <v>4</v>
      </c>
      <c r="B4" s="7">
        <v>83</v>
      </c>
      <c r="C4" s="7">
        <v>0</v>
      </c>
      <c r="D4" s="7">
        <v>35</v>
      </c>
      <c r="E4" s="7">
        <v>104</v>
      </c>
      <c r="F4" s="7">
        <v>39</v>
      </c>
      <c r="G4" s="7">
        <v>40</v>
      </c>
      <c r="H4" s="7">
        <v>79</v>
      </c>
      <c r="I4" s="7">
        <v>49</v>
      </c>
      <c r="K4" s="6" t="s">
        <v>4</v>
      </c>
      <c r="L4" s="7">
        <v>1440</v>
      </c>
      <c r="M4" s="7">
        <v>0</v>
      </c>
      <c r="N4" s="7">
        <v>480</v>
      </c>
      <c r="O4" s="7">
        <v>2400</v>
      </c>
      <c r="P4" s="7">
        <v>1020</v>
      </c>
      <c r="Q4" s="7">
        <v>865</v>
      </c>
      <c r="R4" s="7">
        <v>1695</v>
      </c>
      <c r="S4" s="7">
        <v>1345</v>
      </c>
      <c r="U4" s="6" t="s">
        <v>5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</row>
    <row r="5" spans="1:29" x14ac:dyDescent="0.25">
      <c r="A5" s="6" t="s">
        <v>5</v>
      </c>
      <c r="B5" s="7">
        <v>28</v>
      </c>
      <c r="C5" s="7">
        <v>39</v>
      </c>
      <c r="D5" s="7">
        <v>0</v>
      </c>
      <c r="E5" s="7">
        <v>87</v>
      </c>
      <c r="F5" s="7">
        <v>40</v>
      </c>
      <c r="G5" s="7">
        <v>15</v>
      </c>
      <c r="H5" s="7">
        <v>80</v>
      </c>
      <c r="I5" s="7">
        <v>50</v>
      </c>
      <c r="K5" s="6" t="s">
        <v>5</v>
      </c>
      <c r="L5" s="7">
        <v>805</v>
      </c>
      <c r="M5" s="7">
        <v>480</v>
      </c>
      <c r="N5" s="7">
        <v>0</v>
      </c>
      <c r="O5" s="7">
        <v>1860</v>
      </c>
      <c r="P5" s="7">
        <v>735</v>
      </c>
      <c r="Q5" s="7">
        <v>435</v>
      </c>
      <c r="R5" s="7">
        <v>1305</v>
      </c>
      <c r="S5" s="7">
        <v>1155</v>
      </c>
      <c r="U5" s="6" t="s">
        <v>6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</row>
    <row r="6" spans="1:29" x14ac:dyDescent="0.25">
      <c r="A6" s="6" t="s">
        <v>6</v>
      </c>
      <c r="B6" s="7">
        <v>58</v>
      </c>
      <c r="C6" s="7">
        <v>104</v>
      </c>
      <c r="D6" s="7">
        <v>105</v>
      </c>
      <c r="E6" s="7">
        <v>0</v>
      </c>
      <c r="F6" s="7">
        <v>49</v>
      </c>
      <c r="G6" s="7">
        <v>65</v>
      </c>
      <c r="H6" s="7">
        <v>30</v>
      </c>
      <c r="I6" s="7">
        <v>35</v>
      </c>
      <c r="K6" s="6" t="s">
        <v>6</v>
      </c>
      <c r="L6" s="7">
        <v>1265</v>
      </c>
      <c r="M6" s="7">
        <v>2340</v>
      </c>
      <c r="N6" s="7">
        <v>2220</v>
      </c>
      <c r="O6" s="7">
        <v>0</v>
      </c>
      <c r="P6" s="7">
        <v>1155</v>
      </c>
      <c r="Q6" s="7">
        <v>1560</v>
      </c>
      <c r="R6" s="7">
        <v>995</v>
      </c>
      <c r="S6" s="7">
        <v>1125</v>
      </c>
      <c r="U6" s="6" t="s">
        <v>7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</row>
    <row r="7" spans="1:29" x14ac:dyDescent="0.25">
      <c r="A7" s="6" t="s">
        <v>7</v>
      </c>
      <c r="B7" s="7">
        <v>38</v>
      </c>
      <c r="C7" s="7">
        <v>39</v>
      </c>
      <c r="D7" s="7">
        <v>40</v>
      </c>
      <c r="E7" s="7">
        <v>49</v>
      </c>
      <c r="F7" s="7">
        <v>0</v>
      </c>
      <c r="G7" s="7">
        <v>29</v>
      </c>
      <c r="H7" s="7">
        <v>25</v>
      </c>
      <c r="I7" s="7">
        <v>10</v>
      </c>
      <c r="K7" s="6" t="s">
        <v>7</v>
      </c>
      <c r="L7" s="7">
        <v>900</v>
      </c>
      <c r="M7" s="7">
        <v>980</v>
      </c>
      <c r="N7" s="7">
        <v>740</v>
      </c>
      <c r="O7" s="7">
        <v>1170</v>
      </c>
      <c r="P7" s="7">
        <v>0</v>
      </c>
      <c r="Q7" s="7">
        <v>600</v>
      </c>
      <c r="R7" s="7">
        <v>525</v>
      </c>
      <c r="S7" s="7">
        <v>255</v>
      </c>
      <c r="U7" s="6" t="s">
        <v>8</v>
      </c>
      <c r="V7" s="13">
        <v>0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</row>
    <row r="8" spans="1:29" x14ac:dyDescent="0.25">
      <c r="A8" s="6" t="s">
        <v>8</v>
      </c>
      <c r="B8" s="7">
        <v>24</v>
      </c>
      <c r="C8" s="7">
        <v>52</v>
      </c>
      <c r="D8" s="7">
        <v>15</v>
      </c>
      <c r="E8" s="7">
        <v>103</v>
      </c>
      <c r="F8" s="7">
        <v>29</v>
      </c>
      <c r="G8" s="7">
        <v>0</v>
      </c>
      <c r="H8" s="7">
        <v>69</v>
      </c>
      <c r="I8" s="7">
        <v>49</v>
      </c>
      <c r="K8" s="6" t="s">
        <v>8</v>
      </c>
      <c r="L8" s="7">
        <v>335</v>
      </c>
      <c r="M8" s="7">
        <v>1125</v>
      </c>
      <c r="N8" s="7">
        <v>410</v>
      </c>
      <c r="O8" s="7">
        <v>1385</v>
      </c>
      <c r="P8" s="7">
        <v>620</v>
      </c>
      <c r="Q8" s="7">
        <v>0</v>
      </c>
      <c r="R8" s="7">
        <v>1280</v>
      </c>
      <c r="S8" s="7">
        <v>980</v>
      </c>
      <c r="U8" s="6" t="s">
        <v>9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 spans="1:29" x14ac:dyDescent="0.25">
      <c r="A9" s="6" t="s">
        <v>9</v>
      </c>
      <c r="B9" s="7">
        <v>49</v>
      </c>
      <c r="C9" s="7">
        <v>79</v>
      </c>
      <c r="D9" s="7">
        <v>80</v>
      </c>
      <c r="E9" s="7">
        <v>46</v>
      </c>
      <c r="F9" s="7">
        <v>40</v>
      </c>
      <c r="G9" s="7">
        <v>69</v>
      </c>
      <c r="H9" s="7">
        <v>0</v>
      </c>
      <c r="I9" s="7">
        <v>10</v>
      </c>
      <c r="K9" s="6" t="s">
        <v>9</v>
      </c>
      <c r="L9" s="7">
        <v>1260</v>
      </c>
      <c r="M9" s="7">
        <v>1560</v>
      </c>
      <c r="N9" s="7">
        <v>1200</v>
      </c>
      <c r="O9" s="7">
        <v>1020</v>
      </c>
      <c r="P9" s="7">
        <v>420</v>
      </c>
      <c r="Q9" s="7">
        <v>1140</v>
      </c>
      <c r="R9" s="7">
        <v>0</v>
      </c>
      <c r="S9" s="7">
        <v>180</v>
      </c>
      <c r="U9" s="6" t="s">
        <v>10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1</v>
      </c>
      <c r="AC9" s="13">
        <v>0</v>
      </c>
    </row>
    <row r="10" spans="1:29" x14ac:dyDescent="0.25">
      <c r="A10" s="6" t="s">
        <v>10</v>
      </c>
      <c r="B10" s="7">
        <v>49</v>
      </c>
      <c r="C10" s="7">
        <v>49</v>
      </c>
      <c r="D10" s="7">
        <v>60</v>
      </c>
      <c r="E10" s="7">
        <v>49</v>
      </c>
      <c r="F10" s="7">
        <v>10</v>
      </c>
      <c r="G10" s="7">
        <v>39</v>
      </c>
      <c r="H10" s="7">
        <v>10</v>
      </c>
      <c r="I10" s="7">
        <v>0</v>
      </c>
      <c r="K10" s="6" t="s">
        <v>10</v>
      </c>
      <c r="L10" s="7">
        <v>1000</v>
      </c>
      <c r="M10" s="7">
        <v>1320</v>
      </c>
      <c r="N10" s="7">
        <v>1080</v>
      </c>
      <c r="O10" s="7">
        <v>1050</v>
      </c>
      <c r="P10" s="7">
        <v>240</v>
      </c>
      <c r="Q10" s="7">
        <v>890</v>
      </c>
      <c r="R10" s="7">
        <v>180</v>
      </c>
      <c r="S10" s="7">
        <v>0</v>
      </c>
      <c r="U10" s="1"/>
    </row>
    <row r="11" spans="1:29" ht="18" x14ac:dyDescent="0.35">
      <c r="T11" s="11"/>
      <c r="U11" s="5" t="s">
        <v>71</v>
      </c>
      <c r="V11" s="4" t="s">
        <v>3</v>
      </c>
      <c r="W11" s="4" t="s">
        <v>4</v>
      </c>
      <c r="X11" s="4" t="s">
        <v>5</v>
      </c>
      <c r="Y11" s="4" t="s">
        <v>6</v>
      </c>
      <c r="Z11" s="4" t="s">
        <v>7</v>
      </c>
      <c r="AA11" s="4" t="s">
        <v>8</v>
      </c>
      <c r="AB11" s="4" t="s">
        <v>9</v>
      </c>
      <c r="AC11" s="4" t="s">
        <v>10</v>
      </c>
    </row>
    <row r="12" spans="1:29" x14ac:dyDescent="0.25">
      <c r="A12" s="1" t="s">
        <v>45</v>
      </c>
      <c r="K12" s="1" t="s">
        <v>57</v>
      </c>
      <c r="T12" s="11"/>
      <c r="U12" s="6" t="s">
        <v>3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</row>
    <row r="13" spans="1:29" x14ac:dyDescent="0.25">
      <c r="A13" s="5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K13" s="3" t="s">
        <v>24</v>
      </c>
      <c r="L13" s="4" t="s">
        <v>3</v>
      </c>
      <c r="M13" s="4" t="s">
        <v>4</v>
      </c>
      <c r="N13" s="4" t="s">
        <v>5</v>
      </c>
      <c r="O13" s="4" t="s">
        <v>6</v>
      </c>
      <c r="P13" s="4" t="s">
        <v>7</v>
      </c>
      <c r="Q13" s="4" t="s">
        <v>8</v>
      </c>
      <c r="R13" s="4" t="s">
        <v>9</v>
      </c>
      <c r="S13" s="4" t="s">
        <v>10</v>
      </c>
      <c r="T13" s="11"/>
      <c r="U13" s="6" t="s">
        <v>4</v>
      </c>
      <c r="V13" s="13">
        <v>0</v>
      </c>
      <c r="W13" s="13">
        <v>0</v>
      </c>
      <c r="X13" s="13">
        <v>1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</row>
    <row r="14" spans="1:29" x14ac:dyDescent="0.25">
      <c r="A14" s="6" t="s">
        <v>3</v>
      </c>
      <c r="B14" s="7">
        <v>0</v>
      </c>
      <c r="C14" s="7">
        <v>73</v>
      </c>
      <c r="D14" s="7">
        <v>64</v>
      </c>
      <c r="E14" s="7">
        <v>81</v>
      </c>
      <c r="F14" s="7">
        <v>93</v>
      </c>
      <c r="G14" s="7">
        <v>106</v>
      </c>
      <c r="H14" s="7">
        <v>65</v>
      </c>
      <c r="I14" s="7">
        <v>88</v>
      </c>
      <c r="K14" s="6" t="s">
        <v>3</v>
      </c>
      <c r="L14" s="7">
        <v>0</v>
      </c>
      <c r="M14" s="7">
        <v>73</v>
      </c>
      <c r="N14" s="7">
        <v>64</v>
      </c>
      <c r="O14" s="7">
        <v>81</v>
      </c>
      <c r="P14" s="7">
        <v>390</v>
      </c>
      <c r="Q14" s="7">
        <v>320</v>
      </c>
      <c r="R14" s="7">
        <v>345</v>
      </c>
      <c r="S14" s="7">
        <v>370</v>
      </c>
      <c r="U14" s="6" t="s">
        <v>5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</row>
    <row r="15" spans="1:29" x14ac:dyDescent="0.25">
      <c r="A15" s="6" t="s">
        <v>4</v>
      </c>
      <c r="B15" s="7">
        <v>76</v>
      </c>
      <c r="C15" s="7">
        <v>0</v>
      </c>
      <c r="D15" s="7">
        <v>25</v>
      </c>
      <c r="E15" s="7">
        <v>37</v>
      </c>
      <c r="F15" s="7">
        <v>20</v>
      </c>
      <c r="G15" s="7">
        <v>26</v>
      </c>
      <c r="H15" s="7">
        <v>64</v>
      </c>
      <c r="I15" s="7">
        <v>20</v>
      </c>
      <c r="K15" s="6" t="s">
        <v>4</v>
      </c>
      <c r="L15" s="7">
        <v>410</v>
      </c>
      <c r="M15" s="7">
        <v>0</v>
      </c>
      <c r="N15" s="7">
        <v>75</v>
      </c>
      <c r="O15" s="7">
        <v>175</v>
      </c>
      <c r="P15" s="7">
        <v>130</v>
      </c>
      <c r="Q15" s="7">
        <v>105</v>
      </c>
      <c r="R15" s="7">
        <v>215</v>
      </c>
      <c r="S15" s="7">
        <v>200</v>
      </c>
      <c r="U15" s="6" t="s">
        <v>6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</row>
    <row r="16" spans="1:29" x14ac:dyDescent="0.25">
      <c r="A16" s="6" t="s">
        <v>5</v>
      </c>
      <c r="B16" s="7">
        <v>65</v>
      </c>
      <c r="C16" s="7">
        <v>39</v>
      </c>
      <c r="D16" s="7">
        <v>0</v>
      </c>
      <c r="E16" s="7">
        <v>29</v>
      </c>
      <c r="F16" s="7">
        <v>21</v>
      </c>
      <c r="G16" s="7">
        <v>23</v>
      </c>
      <c r="H16" s="7">
        <v>33</v>
      </c>
      <c r="I16" s="7">
        <v>17</v>
      </c>
      <c r="K16" s="6" t="s">
        <v>5</v>
      </c>
      <c r="L16" s="7">
        <v>355</v>
      </c>
      <c r="M16" s="7">
        <v>80</v>
      </c>
      <c r="N16" s="7">
        <v>0</v>
      </c>
      <c r="O16" s="7">
        <v>145</v>
      </c>
      <c r="P16" s="7">
        <v>120</v>
      </c>
      <c r="Q16" s="7">
        <v>65</v>
      </c>
      <c r="R16" s="7">
        <v>150</v>
      </c>
      <c r="S16" s="7">
        <v>145</v>
      </c>
      <c r="U16" s="6" t="s">
        <v>7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</row>
    <row r="17" spans="1:29" x14ac:dyDescent="0.25">
      <c r="A17" s="6" t="s">
        <v>6</v>
      </c>
      <c r="B17" s="7">
        <v>104</v>
      </c>
      <c r="C17" s="7">
        <v>44</v>
      </c>
      <c r="D17" s="7">
        <v>27</v>
      </c>
      <c r="E17" s="7">
        <v>0</v>
      </c>
      <c r="F17" s="7">
        <v>34</v>
      </c>
      <c r="G17" s="7">
        <v>90</v>
      </c>
      <c r="H17" s="7">
        <v>99</v>
      </c>
      <c r="I17" s="7">
        <v>25</v>
      </c>
      <c r="K17" s="6" t="s">
        <v>6</v>
      </c>
      <c r="L17" s="7">
        <v>395</v>
      </c>
      <c r="M17" s="7">
        <v>190</v>
      </c>
      <c r="N17" s="7">
        <v>140</v>
      </c>
      <c r="O17" s="7">
        <v>0</v>
      </c>
      <c r="P17" s="7">
        <v>120</v>
      </c>
      <c r="Q17" s="7">
        <v>365</v>
      </c>
      <c r="R17" s="7">
        <v>115</v>
      </c>
      <c r="S17" s="7">
        <v>105</v>
      </c>
      <c r="U17" s="6" t="s">
        <v>8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 spans="1:29" x14ac:dyDescent="0.25">
      <c r="A18" s="6" t="s">
        <v>7</v>
      </c>
      <c r="B18" s="7">
        <v>91</v>
      </c>
      <c r="C18" s="7">
        <v>29</v>
      </c>
      <c r="D18" s="7">
        <v>18</v>
      </c>
      <c r="E18" s="7">
        <v>22</v>
      </c>
      <c r="F18" s="7">
        <v>0</v>
      </c>
      <c r="G18" s="7">
        <v>51</v>
      </c>
      <c r="H18" s="7">
        <v>39</v>
      </c>
      <c r="I18" s="7">
        <v>114</v>
      </c>
      <c r="K18" s="6" t="s">
        <v>7</v>
      </c>
      <c r="L18" s="7">
        <v>240</v>
      </c>
      <c r="M18" s="7">
        <v>140</v>
      </c>
      <c r="N18" s="7">
        <v>105</v>
      </c>
      <c r="O18" s="7">
        <v>115</v>
      </c>
      <c r="P18" s="7">
        <v>0</v>
      </c>
      <c r="Q18" s="7">
        <v>80</v>
      </c>
      <c r="R18" s="7">
        <v>75</v>
      </c>
      <c r="S18" s="7">
        <v>55</v>
      </c>
      <c r="U18" s="6" t="s">
        <v>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</row>
    <row r="19" spans="1:29" x14ac:dyDescent="0.25">
      <c r="A19" s="6" t="s">
        <v>8</v>
      </c>
      <c r="B19" s="7">
        <v>89</v>
      </c>
      <c r="C19" s="7">
        <v>48</v>
      </c>
      <c r="D19" s="7">
        <v>25</v>
      </c>
      <c r="E19" s="7">
        <v>88</v>
      </c>
      <c r="F19" s="7">
        <v>50</v>
      </c>
      <c r="G19" s="7">
        <v>0</v>
      </c>
      <c r="H19" s="7">
        <v>126</v>
      </c>
      <c r="I19" s="7">
        <v>28</v>
      </c>
      <c r="K19" s="6" t="s">
        <v>8</v>
      </c>
      <c r="L19" s="7">
        <v>390</v>
      </c>
      <c r="M19" s="7">
        <v>90</v>
      </c>
      <c r="N19" s="7">
        <v>65</v>
      </c>
      <c r="O19" s="7">
        <v>320</v>
      </c>
      <c r="P19" s="7">
        <v>90</v>
      </c>
      <c r="Q19" s="7">
        <v>0</v>
      </c>
      <c r="R19" s="7">
        <v>130</v>
      </c>
      <c r="S19" s="7">
        <v>110</v>
      </c>
      <c r="U19" s="6" t="s">
        <v>10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</row>
    <row r="20" spans="1:29" x14ac:dyDescent="0.25">
      <c r="A20" s="6" t="s">
        <v>9</v>
      </c>
      <c r="B20" s="7">
        <v>146</v>
      </c>
      <c r="C20" s="7">
        <v>60</v>
      </c>
      <c r="D20" s="7">
        <v>58</v>
      </c>
      <c r="E20" s="7">
        <v>116</v>
      </c>
      <c r="F20" s="7">
        <v>59</v>
      </c>
      <c r="G20" s="7">
        <v>133</v>
      </c>
      <c r="H20" s="7">
        <v>0</v>
      </c>
      <c r="I20" s="7">
        <v>147</v>
      </c>
      <c r="K20" s="6" t="s">
        <v>9</v>
      </c>
      <c r="L20" s="7">
        <v>150</v>
      </c>
      <c r="M20" s="7">
        <v>160</v>
      </c>
      <c r="N20" s="7">
        <v>135</v>
      </c>
      <c r="O20" s="7">
        <v>105</v>
      </c>
      <c r="P20" s="7">
        <v>80</v>
      </c>
      <c r="Q20" s="7">
        <v>115</v>
      </c>
      <c r="R20" s="7">
        <v>0</v>
      </c>
      <c r="S20" s="7">
        <v>45</v>
      </c>
    </row>
    <row r="21" spans="1:29" ht="18" x14ac:dyDescent="0.35">
      <c r="A21" s="6" t="s">
        <v>10</v>
      </c>
      <c r="B21" s="7">
        <v>73</v>
      </c>
      <c r="C21" s="7">
        <v>26</v>
      </c>
      <c r="D21" s="7">
        <v>27</v>
      </c>
      <c r="E21" s="7">
        <v>19</v>
      </c>
      <c r="F21" s="7">
        <v>217</v>
      </c>
      <c r="G21" s="7">
        <v>21</v>
      </c>
      <c r="H21" s="7">
        <v>148</v>
      </c>
      <c r="I21" s="7">
        <v>0</v>
      </c>
      <c r="K21" s="6" t="s">
        <v>10</v>
      </c>
      <c r="L21" s="7">
        <v>260</v>
      </c>
      <c r="M21" s="7">
        <v>140</v>
      </c>
      <c r="N21" s="7">
        <v>120</v>
      </c>
      <c r="O21" s="7">
        <v>1.45</v>
      </c>
      <c r="P21" s="7">
        <v>60</v>
      </c>
      <c r="Q21" s="7">
        <v>105</v>
      </c>
      <c r="R21" s="7">
        <v>55</v>
      </c>
      <c r="S21" s="7">
        <v>0</v>
      </c>
      <c r="U21" s="3" t="s">
        <v>70</v>
      </c>
      <c r="V21" s="4" t="s">
        <v>3</v>
      </c>
      <c r="W21" s="4" t="s">
        <v>4</v>
      </c>
      <c r="X21" s="4" t="s">
        <v>5</v>
      </c>
      <c r="Y21" s="4" t="s">
        <v>6</v>
      </c>
      <c r="Z21" s="4" t="s">
        <v>7</v>
      </c>
      <c r="AA21" s="4" t="s">
        <v>8</v>
      </c>
      <c r="AB21" s="4" t="s">
        <v>9</v>
      </c>
      <c r="AC21" s="4" t="s">
        <v>10</v>
      </c>
    </row>
    <row r="22" spans="1:29" x14ac:dyDescent="0.25">
      <c r="T22" s="11"/>
      <c r="U22" s="6" t="s">
        <v>3</v>
      </c>
      <c r="V22" s="13">
        <v>0</v>
      </c>
      <c r="W22" s="13">
        <v>1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</row>
    <row r="23" spans="1:29" x14ac:dyDescent="0.25">
      <c r="A23" s="1" t="s">
        <v>27</v>
      </c>
      <c r="K23" s="1" t="s">
        <v>33</v>
      </c>
      <c r="T23" s="11"/>
      <c r="U23" s="6" t="s">
        <v>4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</row>
    <row r="24" spans="1:29" x14ac:dyDescent="0.25">
      <c r="A24" s="3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10</v>
      </c>
      <c r="K24" s="3" t="s">
        <v>24</v>
      </c>
      <c r="L24" s="4" t="s">
        <v>3</v>
      </c>
      <c r="M24" s="4" t="s">
        <v>4</v>
      </c>
      <c r="N24" s="4" t="s">
        <v>5</v>
      </c>
      <c r="O24" s="4" t="s">
        <v>6</v>
      </c>
      <c r="P24" s="4" t="s">
        <v>7</v>
      </c>
      <c r="Q24" s="4" t="s">
        <v>8</v>
      </c>
      <c r="R24" s="4" t="s">
        <v>9</v>
      </c>
      <c r="S24" s="4" t="s">
        <v>10</v>
      </c>
      <c r="T24" s="11"/>
      <c r="U24" s="6" t="s">
        <v>5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1</v>
      </c>
    </row>
    <row r="25" spans="1:29" x14ac:dyDescent="0.25">
      <c r="A25" s="6" t="s">
        <v>3</v>
      </c>
      <c r="B25" s="7">
        <v>0</v>
      </c>
      <c r="C25" s="7">
        <v>104</v>
      </c>
      <c r="D25" s="7">
        <v>82.25</v>
      </c>
      <c r="E25" s="7">
        <v>65.790000000000006</v>
      </c>
      <c r="F25" s="7">
        <v>79.900000000000006</v>
      </c>
      <c r="G25" s="7">
        <v>23.09</v>
      </c>
      <c r="H25" s="7">
        <v>93.8</v>
      </c>
      <c r="I25" s="7">
        <v>90.9</v>
      </c>
      <c r="K25" s="6" t="s">
        <v>3</v>
      </c>
      <c r="L25" s="7">
        <v>0</v>
      </c>
      <c r="M25" s="7">
        <v>982</v>
      </c>
      <c r="N25" s="7">
        <v>774</v>
      </c>
      <c r="O25" s="7">
        <v>767</v>
      </c>
      <c r="P25" s="7">
        <v>624</v>
      </c>
      <c r="Q25" s="7">
        <v>492</v>
      </c>
      <c r="R25" s="7">
        <v>851</v>
      </c>
      <c r="S25" s="7">
        <v>710</v>
      </c>
      <c r="U25" s="6" t="s">
        <v>6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</row>
    <row r="26" spans="1:29" x14ac:dyDescent="0.25">
      <c r="A26" s="6" t="s">
        <v>4</v>
      </c>
      <c r="B26" s="7">
        <v>105</v>
      </c>
      <c r="C26" s="7">
        <v>0</v>
      </c>
      <c r="D26" s="7">
        <v>18</v>
      </c>
      <c r="E26" s="7">
        <v>179.13</v>
      </c>
      <c r="F26" s="7">
        <v>94</v>
      </c>
      <c r="G26" s="7">
        <v>92.7</v>
      </c>
      <c r="H26" s="7">
        <v>212</v>
      </c>
      <c r="I26" s="7">
        <v>177</v>
      </c>
      <c r="K26" s="6" t="s">
        <v>4</v>
      </c>
      <c r="L26" s="7">
        <v>1049</v>
      </c>
      <c r="M26" s="7">
        <v>0</v>
      </c>
      <c r="N26" s="7">
        <v>165</v>
      </c>
      <c r="O26" s="7">
        <v>1482</v>
      </c>
      <c r="P26" s="7">
        <v>676</v>
      </c>
      <c r="Q26" s="7">
        <v>606</v>
      </c>
      <c r="R26" s="7">
        <v>879</v>
      </c>
      <c r="S26" s="7">
        <v>762</v>
      </c>
      <c r="U26" s="6" t="s">
        <v>7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</row>
    <row r="27" spans="1:29" x14ac:dyDescent="0.25">
      <c r="A27" s="6" t="s">
        <v>5</v>
      </c>
      <c r="B27" s="7">
        <v>61</v>
      </c>
      <c r="C27" s="7">
        <v>15</v>
      </c>
      <c r="D27" s="7">
        <v>0</v>
      </c>
      <c r="E27" s="7">
        <v>121.88</v>
      </c>
      <c r="F27" s="7">
        <v>69</v>
      </c>
      <c r="G27" s="7">
        <v>24.69</v>
      </c>
      <c r="H27" s="7">
        <v>103.99</v>
      </c>
      <c r="I27" s="7">
        <v>158</v>
      </c>
      <c r="K27" s="6" t="s">
        <v>5</v>
      </c>
      <c r="L27" s="7">
        <v>845</v>
      </c>
      <c r="M27" s="7">
        <v>150</v>
      </c>
      <c r="N27" s="7">
        <v>0</v>
      </c>
      <c r="O27" s="7">
        <v>1632</v>
      </c>
      <c r="P27" s="7">
        <v>409</v>
      </c>
      <c r="Q27" s="7">
        <v>516</v>
      </c>
      <c r="R27" s="7">
        <v>946</v>
      </c>
      <c r="S27" s="7">
        <v>554</v>
      </c>
      <c r="U27" s="6" t="s">
        <v>8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</row>
    <row r="28" spans="1:29" x14ac:dyDescent="0.25">
      <c r="A28" s="6" t="s">
        <v>6</v>
      </c>
      <c r="B28" s="7">
        <v>67.3</v>
      </c>
      <c r="C28" s="7">
        <v>148.9</v>
      </c>
      <c r="D28" s="7">
        <v>157.9</v>
      </c>
      <c r="E28" s="7">
        <v>0</v>
      </c>
      <c r="F28" s="7">
        <v>76.900000000000006</v>
      </c>
      <c r="G28" s="7">
        <v>98.9</v>
      </c>
      <c r="H28" s="7">
        <v>51.89</v>
      </c>
      <c r="I28" s="7">
        <v>99.9</v>
      </c>
      <c r="K28" s="6" t="s">
        <v>6</v>
      </c>
      <c r="L28" s="7">
        <v>855</v>
      </c>
      <c r="M28" s="7">
        <v>1665</v>
      </c>
      <c r="N28" s="7">
        <v>1497</v>
      </c>
      <c r="O28" s="7">
        <v>0</v>
      </c>
      <c r="P28" s="7">
        <v>638</v>
      </c>
      <c r="Q28" s="7">
        <v>1253</v>
      </c>
      <c r="R28" s="7">
        <v>741</v>
      </c>
      <c r="S28" s="7">
        <v>622</v>
      </c>
      <c r="U28" s="6" t="s">
        <v>9</v>
      </c>
      <c r="V28" s="13">
        <v>1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</row>
    <row r="29" spans="1:29" x14ac:dyDescent="0.25">
      <c r="A29" s="6" t="s">
        <v>7</v>
      </c>
      <c r="B29" s="7">
        <v>61.9</v>
      </c>
      <c r="C29" s="7">
        <v>67.599999999999994</v>
      </c>
      <c r="D29" s="7">
        <v>106</v>
      </c>
      <c r="E29" s="7">
        <v>63.89</v>
      </c>
      <c r="F29" s="7">
        <v>0</v>
      </c>
      <c r="G29" s="7">
        <v>19</v>
      </c>
      <c r="H29" s="7">
        <v>48</v>
      </c>
      <c r="I29" s="7">
        <v>29</v>
      </c>
      <c r="K29" s="6" t="s">
        <v>7</v>
      </c>
      <c r="L29" s="7">
        <v>590</v>
      </c>
      <c r="M29" s="7">
        <v>744</v>
      </c>
      <c r="N29" s="7">
        <v>416</v>
      </c>
      <c r="O29" s="7">
        <v>627</v>
      </c>
      <c r="P29" s="7">
        <v>0</v>
      </c>
      <c r="Q29" s="7">
        <v>203</v>
      </c>
      <c r="R29" s="7">
        <v>199</v>
      </c>
      <c r="S29" s="7">
        <v>82</v>
      </c>
      <c r="U29" s="6" t="s">
        <v>10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</row>
    <row r="30" spans="1:29" x14ac:dyDescent="0.25">
      <c r="A30" s="6" t="s">
        <v>8</v>
      </c>
      <c r="B30" s="7">
        <v>28.19</v>
      </c>
      <c r="C30" s="7">
        <v>115.5</v>
      </c>
      <c r="D30" s="7">
        <v>58</v>
      </c>
      <c r="E30" s="7">
        <v>101.89</v>
      </c>
      <c r="F30" s="7">
        <v>29</v>
      </c>
      <c r="G30" s="7">
        <v>0</v>
      </c>
      <c r="H30" s="7">
        <v>89</v>
      </c>
      <c r="I30" s="7">
        <v>20.99</v>
      </c>
      <c r="K30" s="6" t="s">
        <v>8</v>
      </c>
      <c r="L30" s="7">
        <v>492</v>
      </c>
      <c r="M30" s="7">
        <v>526</v>
      </c>
      <c r="N30" s="7">
        <v>358</v>
      </c>
      <c r="O30" s="7">
        <v>1307</v>
      </c>
      <c r="P30" s="7">
        <v>206</v>
      </c>
      <c r="Q30" s="7">
        <v>0</v>
      </c>
      <c r="R30" s="7">
        <v>460</v>
      </c>
      <c r="S30" s="7">
        <v>488</v>
      </c>
    </row>
    <row r="31" spans="1:29" x14ac:dyDescent="0.25">
      <c r="A31" s="6" t="s">
        <v>9</v>
      </c>
      <c r="B31" s="7">
        <v>120.8</v>
      </c>
      <c r="C31" s="7">
        <v>165.99</v>
      </c>
      <c r="D31" s="7">
        <v>147</v>
      </c>
      <c r="E31" s="7">
        <v>51.89</v>
      </c>
      <c r="F31" s="7">
        <v>35</v>
      </c>
      <c r="G31" s="7">
        <v>84</v>
      </c>
      <c r="H31" s="7">
        <v>0</v>
      </c>
      <c r="I31" s="7">
        <v>29</v>
      </c>
      <c r="K31" s="6" t="s">
        <v>9</v>
      </c>
      <c r="L31" s="7">
        <v>816</v>
      </c>
      <c r="M31" s="7">
        <v>1237</v>
      </c>
      <c r="N31" s="7">
        <v>670</v>
      </c>
      <c r="O31" s="7">
        <v>792</v>
      </c>
      <c r="P31" s="7">
        <v>200</v>
      </c>
      <c r="Q31" s="7">
        <v>461</v>
      </c>
      <c r="R31" s="7">
        <v>0</v>
      </c>
      <c r="S31" s="7">
        <v>113</v>
      </c>
    </row>
    <row r="32" spans="1:29" x14ac:dyDescent="0.25">
      <c r="A32" s="6" t="s">
        <v>10</v>
      </c>
      <c r="B32" s="7">
        <v>80.900000000000006</v>
      </c>
      <c r="C32" s="7">
        <v>160</v>
      </c>
      <c r="D32" s="7">
        <v>135</v>
      </c>
      <c r="E32" s="7">
        <v>79.900000000000006</v>
      </c>
      <c r="F32" s="7">
        <v>29</v>
      </c>
      <c r="G32" s="7">
        <v>70</v>
      </c>
      <c r="H32" s="7">
        <v>29</v>
      </c>
      <c r="I32" s="7">
        <v>0</v>
      </c>
      <c r="K32" s="6" t="s">
        <v>10</v>
      </c>
      <c r="L32" s="7">
        <v>648</v>
      </c>
      <c r="M32" s="7">
        <v>807</v>
      </c>
      <c r="N32" s="7">
        <v>591</v>
      </c>
      <c r="O32" s="7">
        <v>624</v>
      </c>
      <c r="P32" s="7">
        <v>83</v>
      </c>
      <c r="Q32" s="7">
        <v>340</v>
      </c>
      <c r="R32" s="7">
        <v>112</v>
      </c>
      <c r="S32" s="7">
        <v>0</v>
      </c>
      <c r="U32" s="5" t="s">
        <v>11</v>
      </c>
    </row>
    <row r="33" spans="4:21" x14ac:dyDescent="0.25">
      <c r="U33" s="8">
        <f>SUMPRODUCT(B3:I10,V2:AC9)+SUMPRODUCT(B25:I32,V12:AC19)+SUMPRODUCT(B14:I21,V22:AC29)</f>
        <v>264</v>
      </c>
    </row>
    <row r="35" spans="4:21" x14ac:dyDescent="0.25">
      <c r="D35" s="2" t="s">
        <v>1</v>
      </c>
      <c r="E35" s="3" t="s">
        <v>12</v>
      </c>
      <c r="J35" s="3" t="s">
        <v>30</v>
      </c>
      <c r="O35" s="3" t="s">
        <v>67</v>
      </c>
    </row>
    <row r="36" spans="4:21" x14ac:dyDescent="0.25">
      <c r="E36" s="9">
        <f>SUMPRODUCT(L3:S10,V2:AC9)+SUMPRODUCT(V12:AC19,L25:S32)+SUMPRODUCT(L14:S21,V22:AC29)</f>
        <v>713</v>
      </c>
      <c r="F36" s="10" t="s">
        <v>13</v>
      </c>
      <c r="G36" s="7">
        <v>800</v>
      </c>
      <c r="J36" t="s">
        <v>31</v>
      </c>
      <c r="K36" s="9">
        <f>SUM(W2,W12,W22,V3,V13,V23)</f>
        <v>1</v>
      </c>
      <c r="L36" s="10" t="s">
        <v>13</v>
      </c>
      <c r="M36" s="7">
        <v>1</v>
      </c>
      <c r="O36" t="s">
        <v>15</v>
      </c>
      <c r="P36" s="9">
        <f>SUMPRODUCT(L3:S3,V2:AC2)+SUMPRODUCT(L14:S14,V22:AC22)+SUMPRODUCT(L25:S25,V12:AC12)</f>
        <v>73</v>
      </c>
      <c r="Q36" s="10" t="s">
        <v>13</v>
      </c>
      <c r="R36" s="7">
        <v>180</v>
      </c>
    </row>
    <row r="37" spans="4:21" x14ac:dyDescent="0.25">
      <c r="J37" t="s">
        <v>32</v>
      </c>
      <c r="K37" s="9">
        <f>SUM(X2,V4,X12,V14,X22,V24)</f>
        <v>0</v>
      </c>
      <c r="L37" s="10" t="s">
        <v>13</v>
      </c>
      <c r="M37" s="7">
        <v>1</v>
      </c>
      <c r="O37" s="11" t="s">
        <v>17</v>
      </c>
      <c r="P37" s="9">
        <f t="shared" ref="P37:P42" si="0">SUMPRODUCT(L4:S4,V3:AC3)+SUMPRODUCT(L15:S15,V23:AC23)+SUMPRODUCT(L26:S26,V13:AC13)</f>
        <v>165</v>
      </c>
      <c r="Q37" s="10" t="s">
        <v>13</v>
      </c>
      <c r="R37" s="7">
        <v>180</v>
      </c>
    </row>
    <row r="38" spans="4:21" x14ac:dyDescent="0.25">
      <c r="E38" s="3" t="s">
        <v>14</v>
      </c>
      <c r="J38" t="s">
        <v>34</v>
      </c>
      <c r="K38" s="9">
        <f>SUM(Y2,Y12,Y22,V5,V15,V25)</f>
        <v>0</v>
      </c>
      <c r="L38" s="10" t="s">
        <v>13</v>
      </c>
      <c r="M38" s="7">
        <v>1</v>
      </c>
      <c r="O38" s="11" t="s">
        <v>18</v>
      </c>
      <c r="P38" s="9">
        <f t="shared" si="0"/>
        <v>145</v>
      </c>
      <c r="Q38" s="10" t="s">
        <v>13</v>
      </c>
      <c r="R38" s="7">
        <v>180</v>
      </c>
    </row>
    <row r="39" spans="4:21" x14ac:dyDescent="0.25">
      <c r="E39" s="11" t="s">
        <v>15</v>
      </c>
      <c r="F39" s="9">
        <f t="shared" ref="F39:F46" si="1">SUM(V2:AC2)+SUM(V12:AC12)+SUM(V22:AC22)</f>
        <v>1</v>
      </c>
      <c r="G39" s="12" t="s">
        <v>16</v>
      </c>
      <c r="H39" s="7">
        <v>1</v>
      </c>
      <c r="J39" t="s">
        <v>35</v>
      </c>
      <c r="K39" s="9">
        <f>SUM(Z2,Z12,Z22,V16,V26,V6)</f>
        <v>0</v>
      </c>
      <c r="L39" s="10" t="s">
        <v>13</v>
      </c>
      <c r="M39" s="7">
        <v>1</v>
      </c>
      <c r="O39" s="11" t="s">
        <v>19</v>
      </c>
      <c r="P39" s="9">
        <f t="shared" si="0"/>
        <v>0</v>
      </c>
      <c r="Q39" s="10" t="s">
        <v>13</v>
      </c>
      <c r="R39" s="7">
        <v>180</v>
      </c>
    </row>
    <row r="40" spans="4:21" x14ac:dyDescent="0.25">
      <c r="E40" s="11" t="s">
        <v>17</v>
      </c>
      <c r="F40" s="9">
        <f t="shared" si="1"/>
        <v>1</v>
      </c>
      <c r="G40" s="10" t="s">
        <v>13</v>
      </c>
      <c r="H40" s="7">
        <v>1</v>
      </c>
      <c r="J40" t="s">
        <v>36</v>
      </c>
      <c r="K40" s="9">
        <f>SUM(AA2,AA12,AA22,V27,V17,V7)</f>
        <v>0</v>
      </c>
      <c r="L40" s="10" t="s">
        <v>13</v>
      </c>
      <c r="M40" s="7">
        <v>1</v>
      </c>
      <c r="O40" s="11" t="s">
        <v>20</v>
      </c>
      <c r="P40" s="9">
        <f t="shared" si="0"/>
        <v>0</v>
      </c>
      <c r="Q40" s="10" t="s">
        <v>13</v>
      </c>
      <c r="R40" s="7">
        <v>180</v>
      </c>
    </row>
    <row r="41" spans="4:21" x14ac:dyDescent="0.25">
      <c r="E41" s="11" t="s">
        <v>18</v>
      </c>
      <c r="F41" s="9">
        <f t="shared" si="1"/>
        <v>1</v>
      </c>
      <c r="G41" s="10" t="s">
        <v>13</v>
      </c>
      <c r="H41" s="7">
        <v>1</v>
      </c>
      <c r="J41" t="s">
        <v>37</v>
      </c>
      <c r="K41" s="9">
        <f>SUM(AB2,AB12,AB22,V8,V18,V28)</f>
        <v>1</v>
      </c>
      <c r="L41" s="10" t="s">
        <v>13</v>
      </c>
      <c r="M41" s="7">
        <v>1</v>
      </c>
      <c r="O41" s="11" t="s">
        <v>21</v>
      </c>
      <c r="P41" s="9">
        <f t="shared" si="0"/>
        <v>0</v>
      </c>
      <c r="Q41" s="10" t="s">
        <v>13</v>
      </c>
      <c r="R41" s="7">
        <v>180</v>
      </c>
    </row>
    <row r="42" spans="4:21" x14ac:dyDescent="0.25">
      <c r="E42" s="11" t="s">
        <v>19</v>
      </c>
      <c r="F42" s="9">
        <f t="shared" si="1"/>
        <v>0</v>
      </c>
      <c r="G42" s="10" t="s">
        <v>13</v>
      </c>
      <c r="H42" s="7">
        <v>1</v>
      </c>
      <c r="J42" t="s">
        <v>38</v>
      </c>
      <c r="K42" s="9">
        <f>SUM(AC2,AC12,AC22,V9,V19,V29)</f>
        <v>0</v>
      </c>
      <c r="L42" s="10" t="s">
        <v>13</v>
      </c>
      <c r="M42" s="7">
        <v>1</v>
      </c>
      <c r="O42" s="11" t="s">
        <v>23</v>
      </c>
      <c r="P42" s="9">
        <f t="shared" si="0"/>
        <v>150</v>
      </c>
      <c r="Q42" s="10" t="s">
        <v>13</v>
      </c>
      <c r="R42" s="7">
        <v>180</v>
      </c>
    </row>
    <row r="43" spans="4:21" x14ac:dyDescent="0.25">
      <c r="E43" s="11" t="s">
        <v>20</v>
      </c>
      <c r="F43" s="9">
        <f t="shared" si="1"/>
        <v>0</v>
      </c>
      <c r="G43" s="10" t="s">
        <v>13</v>
      </c>
      <c r="H43" s="7">
        <v>1</v>
      </c>
      <c r="J43" t="s">
        <v>39</v>
      </c>
      <c r="K43" s="9">
        <f>SUM(W4,W14,W24,X23,X13,X3)</f>
        <v>1</v>
      </c>
      <c r="L43" s="10" t="s">
        <v>13</v>
      </c>
      <c r="M43" s="7">
        <v>1</v>
      </c>
      <c r="O43" s="11" t="s">
        <v>25</v>
      </c>
      <c r="P43" s="9">
        <f>SUMPRODUCT(L10:S10,V9:AC9)+SUMPRODUCT(L21:S21,V29:AC29)+SUMPRODUCT(L32:S32,V19:AC19)</f>
        <v>180</v>
      </c>
      <c r="Q43" s="10" t="s">
        <v>13</v>
      </c>
      <c r="R43" s="7">
        <v>180</v>
      </c>
    </row>
    <row r="44" spans="4:21" x14ac:dyDescent="0.25">
      <c r="E44" s="11" t="s">
        <v>21</v>
      </c>
      <c r="F44" s="9">
        <f t="shared" si="1"/>
        <v>0</v>
      </c>
      <c r="G44" s="10" t="s">
        <v>13</v>
      </c>
      <c r="H44" s="7">
        <v>1</v>
      </c>
      <c r="J44" t="s">
        <v>40</v>
      </c>
      <c r="K44" s="9">
        <f>SUM(Y3,Y13,Y23,W25,W15,W5)</f>
        <v>0</v>
      </c>
      <c r="L44" s="10" t="s">
        <v>13</v>
      </c>
      <c r="M44" s="7">
        <v>1</v>
      </c>
    </row>
    <row r="45" spans="4:21" x14ac:dyDescent="0.25">
      <c r="E45" s="11" t="s">
        <v>23</v>
      </c>
      <c r="F45" s="9">
        <f t="shared" si="1"/>
        <v>1</v>
      </c>
      <c r="G45" s="10" t="s">
        <v>13</v>
      </c>
      <c r="H45" s="7">
        <v>1</v>
      </c>
      <c r="J45" t="s">
        <v>41</v>
      </c>
      <c r="K45" s="9">
        <f>SUM(Z3,Z13,Z23,W6,W16,W26)</f>
        <v>0</v>
      </c>
      <c r="L45" s="10" t="s">
        <v>13</v>
      </c>
      <c r="M45" s="7">
        <v>1</v>
      </c>
    </row>
    <row r="46" spans="4:21" x14ac:dyDescent="0.25">
      <c r="E46" s="11" t="s">
        <v>25</v>
      </c>
      <c r="F46" s="9">
        <f t="shared" si="1"/>
        <v>1</v>
      </c>
      <c r="G46" s="10" t="s">
        <v>13</v>
      </c>
      <c r="H46" s="7">
        <v>1</v>
      </c>
      <c r="J46" t="s">
        <v>42</v>
      </c>
      <c r="K46" s="9">
        <f>SUM(AA3,AA13,AA23,W27,W17,W7)</f>
        <v>0</v>
      </c>
      <c r="L46" s="10" t="s">
        <v>13</v>
      </c>
      <c r="M46" s="7">
        <v>1</v>
      </c>
    </row>
    <row r="47" spans="4:21" x14ac:dyDescent="0.25">
      <c r="J47" t="s">
        <v>43</v>
      </c>
      <c r="K47" s="9">
        <f>SUM(AB3,AB13,AB23,W28,W18,W8)</f>
        <v>0</v>
      </c>
      <c r="L47" s="10" t="s">
        <v>13</v>
      </c>
      <c r="M47" s="7">
        <v>1</v>
      </c>
    </row>
    <row r="48" spans="4:21" x14ac:dyDescent="0.25">
      <c r="E48" s="5" t="s">
        <v>26</v>
      </c>
      <c r="F48" s="11"/>
      <c r="J48" t="s">
        <v>44</v>
      </c>
      <c r="K48" s="9">
        <f>SUM(AC3,AC13,AC23,W29,W19,W9)</f>
        <v>0</v>
      </c>
      <c r="L48" s="10" t="s">
        <v>13</v>
      </c>
      <c r="M48" s="7">
        <v>1</v>
      </c>
    </row>
    <row r="49" spans="5:13" x14ac:dyDescent="0.25">
      <c r="E49" s="11" t="s">
        <v>15</v>
      </c>
      <c r="F49" s="9">
        <f t="shared" ref="F49:F56" si="2">SUM(V2:AC2)+SUM(V12:AC12)+SUM(V22:AC22)</f>
        <v>1</v>
      </c>
      <c r="G49" s="12" t="s">
        <v>16</v>
      </c>
      <c r="H49" s="9">
        <f>SUM(V2:V9)+SUM(V12:V19)+SUM(V22:V29)</f>
        <v>1</v>
      </c>
      <c r="J49" t="s">
        <v>46</v>
      </c>
      <c r="K49" s="9">
        <f>SUM(Y4,Y14,Y24,X25,X15,X5)</f>
        <v>0</v>
      </c>
      <c r="L49" s="10" t="s">
        <v>13</v>
      </c>
      <c r="M49" s="7">
        <v>1</v>
      </c>
    </row>
    <row r="50" spans="5:13" x14ac:dyDescent="0.25">
      <c r="E50" s="11" t="s">
        <v>17</v>
      </c>
      <c r="F50" s="9">
        <f t="shared" si="2"/>
        <v>1</v>
      </c>
      <c r="G50" s="12" t="s">
        <v>16</v>
      </c>
      <c r="H50" s="9">
        <f>SUM(W2:W9)+SUM(W12:W19)+SUM(W22:W29)</f>
        <v>1</v>
      </c>
      <c r="J50" t="s">
        <v>47</v>
      </c>
      <c r="K50" s="9">
        <f>SUM(Z4,Z14,Z24,X26,X16,X6)</f>
        <v>0</v>
      </c>
      <c r="L50" s="10" t="s">
        <v>13</v>
      </c>
      <c r="M50" s="7">
        <v>1</v>
      </c>
    </row>
    <row r="51" spans="5:13" x14ac:dyDescent="0.25">
      <c r="E51" s="11" t="s">
        <v>18</v>
      </c>
      <c r="F51" s="9">
        <f t="shared" si="2"/>
        <v>1</v>
      </c>
      <c r="G51" s="12" t="s">
        <v>16</v>
      </c>
      <c r="H51" s="9">
        <f>SUM(X2:X9)+SUM(X12:X19)+SUM(X22:X29)</f>
        <v>1</v>
      </c>
      <c r="J51" t="s">
        <v>48</v>
      </c>
      <c r="K51" s="9">
        <f>SUM(AA4,AA14,AA24,X27,X17,X7)</f>
        <v>0</v>
      </c>
      <c r="L51" s="10" t="s">
        <v>13</v>
      </c>
      <c r="M51" s="7">
        <v>1</v>
      </c>
    </row>
    <row r="52" spans="5:13" x14ac:dyDescent="0.25">
      <c r="E52" s="11" t="s">
        <v>19</v>
      </c>
      <c r="F52" s="9">
        <f t="shared" si="2"/>
        <v>0</v>
      </c>
      <c r="G52" s="12" t="s">
        <v>16</v>
      </c>
      <c r="H52" s="9">
        <f>SUM(Y2:Y9)+SUM(Y12:Y19)+SUM(Y22:Y29)</f>
        <v>0</v>
      </c>
      <c r="J52" t="s">
        <v>49</v>
      </c>
      <c r="K52" s="9">
        <f>SUM(AB4,AB14,AB24,X28,X18,X8)</f>
        <v>0</v>
      </c>
      <c r="L52" s="10" t="s">
        <v>13</v>
      </c>
      <c r="M52" s="7">
        <v>1</v>
      </c>
    </row>
    <row r="53" spans="5:13" x14ac:dyDescent="0.25">
      <c r="E53" s="11" t="s">
        <v>20</v>
      </c>
      <c r="F53" s="9">
        <f t="shared" si="2"/>
        <v>0</v>
      </c>
      <c r="G53" s="12" t="s">
        <v>16</v>
      </c>
      <c r="H53" s="9">
        <f>SUM(Z2:Z9)+SUM(Z12:Z19)+SUM(Z22:Z29)</f>
        <v>0</v>
      </c>
      <c r="J53" t="s">
        <v>50</v>
      </c>
      <c r="K53" s="9">
        <f>SUM(AC4,AC14,AC24,X19,X9,X29)</f>
        <v>1</v>
      </c>
      <c r="L53" s="10" t="s">
        <v>13</v>
      </c>
      <c r="M53" s="7">
        <v>1</v>
      </c>
    </row>
    <row r="54" spans="5:13" x14ac:dyDescent="0.25">
      <c r="E54" s="11" t="s">
        <v>21</v>
      </c>
      <c r="F54" s="9">
        <f t="shared" si="2"/>
        <v>0</v>
      </c>
      <c r="G54" s="12" t="s">
        <v>16</v>
      </c>
      <c r="H54" s="9">
        <f>SUM(AA2:AA9)+SUM(AA12:AA19)+SUM(AA22:AA29)</f>
        <v>0</v>
      </c>
      <c r="J54" t="s">
        <v>51</v>
      </c>
      <c r="K54" s="9">
        <f>SUM(Z5,Z15,Z25,Y26,Y16,Y6)</f>
        <v>0</v>
      </c>
      <c r="L54" s="10" t="s">
        <v>13</v>
      </c>
      <c r="M54" s="7">
        <v>1</v>
      </c>
    </row>
    <row r="55" spans="5:13" x14ac:dyDescent="0.25">
      <c r="E55" s="11" t="s">
        <v>23</v>
      </c>
      <c r="F55" s="9">
        <f t="shared" si="2"/>
        <v>1</v>
      </c>
      <c r="G55" s="12" t="s">
        <v>16</v>
      </c>
      <c r="H55" s="9">
        <f>SUM(AB2:AB9)+SUM(AB12:AB19)+SUM(AB22:AB29)</f>
        <v>1</v>
      </c>
      <c r="J55" t="s">
        <v>52</v>
      </c>
      <c r="K55" s="9">
        <f>SUM(AA5,AA15,AA25,Y27,Y17,Y7)</f>
        <v>0</v>
      </c>
      <c r="L55" s="10" t="s">
        <v>13</v>
      </c>
      <c r="M55" s="7">
        <v>1</v>
      </c>
    </row>
    <row r="56" spans="5:13" x14ac:dyDescent="0.25">
      <c r="E56" s="11" t="s">
        <v>25</v>
      </c>
      <c r="F56" s="9">
        <f t="shared" si="2"/>
        <v>1</v>
      </c>
      <c r="G56" s="12" t="s">
        <v>16</v>
      </c>
      <c r="H56" s="9">
        <f>SUM(AC2:AC9)+SUM(AC12:AC19)+SUM(AC22:AC29)</f>
        <v>1</v>
      </c>
      <c r="J56" t="s">
        <v>53</v>
      </c>
      <c r="K56" s="9">
        <f>SUM(AB5,AB15,AB25,Y28,Y18,Y8)</f>
        <v>0</v>
      </c>
      <c r="L56" s="10" t="s">
        <v>13</v>
      </c>
      <c r="M56" s="7">
        <v>1</v>
      </c>
    </row>
    <row r="57" spans="5:13" x14ac:dyDescent="0.25">
      <c r="J57" t="s">
        <v>54</v>
      </c>
      <c r="K57" s="9">
        <f>SUM(AC5,AC15,AC25,Y29,Y19,Y9)</f>
        <v>0</v>
      </c>
      <c r="L57" s="10" t="s">
        <v>13</v>
      </c>
      <c r="M57" s="7">
        <v>1</v>
      </c>
    </row>
    <row r="58" spans="5:13" x14ac:dyDescent="0.25">
      <c r="E58" s="5" t="s">
        <v>28</v>
      </c>
      <c r="J58" t="s">
        <v>55</v>
      </c>
      <c r="K58" s="9">
        <f>SUM(AA6,AA16,AA26,Z27,Z17,Z7)</f>
        <v>0</v>
      </c>
      <c r="L58" s="10" t="s">
        <v>13</v>
      </c>
      <c r="M58" s="7">
        <v>1</v>
      </c>
    </row>
    <row r="59" spans="5:13" x14ac:dyDescent="0.25">
      <c r="E59" s="9">
        <f>SUM(V2,W3,X4,Y5,Z6,AA7,AB8,AC9,V12,W13,X14,Y15,Z16,AA17,AB18,AC19,V22,W23,X24,Y25,Z26,AA27,AB28,AC29)</f>
        <v>0</v>
      </c>
      <c r="F59" s="12" t="s">
        <v>16</v>
      </c>
      <c r="G59" s="7">
        <v>0</v>
      </c>
      <c r="J59" t="s">
        <v>56</v>
      </c>
      <c r="K59" s="9">
        <f>SUM(AB6,AB16,AB26,Z28,Z18,Z8)</f>
        <v>0</v>
      </c>
      <c r="L59" s="10" t="s">
        <v>13</v>
      </c>
      <c r="M59" s="7">
        <v>1</v>
      </c>
    </row>
    <row r="60" spans="5:13" x14ac:dyDescent="0.25">
      <c r="J60" t="s">
        <v>58</v>
      </c>
      <c r="K60" s="9">
        <f>SUM(AC6,AC16,AC26,Z29,Z19,Z9)</f>
        <v>0</v>
      </c>
      <c r="L60" s="10" t="s">
        <v>13</v>
      </c>
      <c r="M60" s="7">
        <v>1</v>
      </c>
    </row>
    <row r="61" spans="5:13" x14ac:dyDescent="0.25">
      <c r="E61" s="3" t="s">
        <v>29</v>
      </c>
      <c r="J61" t="s">
        <v>59</v>
      </c>
      <c r="K61" s="9">
        <f>SUM(AB7,AB17,AB27,AA28,AA18,AA8)</f>
        <v>0</v>
      </c>
      <c r="L61" s="10" t="s">
        <v>13</v>
      </c>
      <c r="M61" s="7">
        <v>1</v>
      </c>
    </row>
    <row r="62" spans="5:13" x14ac:dyDescent="0.25">
      <c r="E62" s="9">
        <f>SUM(V2:AC9)+SUM(V12:AC19)+SUM(V22:AC29)</f>
        <v>5</v>
      </c>
      <c r="F62" s="12" t="s">
        <v>16</v>
      </c>
      <c r="G62" s="7">
        <v>5</v>
      </c>
      <c r="J62" t="s">
        <v>60</v>
      </c>
      <c r="K62" s="9">
        <f>SUM(AC7,AC17,AC27,AA29,AA19,AA9)</f>
        <v>0</v>
      </c>
      <c r="L62" s="10" t="s">
        <v>13</v>
      </c>
      <c r="M62" s="7">
        <v>1</v>
      </c>
    </row>
    <row r="63" spans="5:13" x14ac:dyDescent="0.25">
      <c r="J63" t="s">
        <v>61</v>
      </c>
      <c r="K63" s="9">
        <f>SUM(AC8,AC18,AC28,AB29,AB19,AB9)</f>
        <v>1</v>
      </c>
      <c r="L63" s="10" t="s">
        <v>13</v>
      </c>
      <c r="M63" s="7">
        <v>1</v>
      </c>
    </row>
    <row r="66" spans="1:1" x14ac:dyDescent="0.25">
      <c r="A66" s="6"/>
    </row>
  </sheetData>
  <pageMargins left="0.7" right="0.7" top="0.75" bottom="0.75" header="0.3" footer="0.3"/>
  <pageSetup paperSize="9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7B8B4-83C1-4140-B717-77A7A74908AF}">
  <dimension ref="A1:AC66"/>
  <sheetViews>
    <sheetView topLeftCell="G1" zoomScale="60" zoomScaleNormal="70" workbookViewId="0">
      <selection activeCell="I37" sqref="I37"/>
    </sheetView>
  </sheetViews>
  <sheetFormatPr defaultRowHeight="15" x14ac:dyDescent="0.25"/>
  <cols>
    <col min="1" max="1" width="20.140625" bestFit="1" customWidth="1"/>
    <col min="2" max="2" width="10.28515625" bestFit="1" customWidth="1"/>
    <col min="3" max="3" width="10" bestFit="1" customWidth="1"/>
    <col min="4" max="4" width="15.28515625" bestFit="1" customWidth="1"/>
    <col min="5" max="5" width="9.28515625" bestFit="1" customWidth="1"/>
    <col min="6" max="6" width="8.28515625" bestFit="1" customWidth="1"/>
    <col min="7" max="7" width="12.7109375" bestFit="1" customWidth="1"/>
    <col min="8" max="8" width="15.28515625" bestFit="1" customWidth="1"/>
    <col min="9" max="9" width="13.28515625" bestFit="1" customWidth="1"/>
    <col min="10" max="10" width="20.7109375" customWidth="1"/>
    <col min="11" max="11" width="20.140625" bestFit="1" customWidth="1"/>
    <col min="12" max="12" width="10.28515625" bestFit="1" customWidth="1"/>
    <col min="13" max="13" width="10" bestFit="1" customWidth="1"/>
    <col min="14" max="14" width="15.28515625" bestFit="1" customWidth="1"/>
    <col min="15" max="15" width="9.28515625" bestFit="1" customWidth="1"/>
    <col min="16" max="16" width="8.28515625" bestFit="1" customWidth="1"/>
    <col min="17" max="17" width="12.7109375" bestFit="1" customWidth="1"/>
    <col min="18" max="18" width="15.28515625" bestFit="1" customWidth="1"/>
    <col min="19" max="19" width="13.28515625" bestFit="1" customWidth="1"/>
    <col min="20" max="20" width="20.7109375" customWidth="1"/>
    <col min="21" max="21" width="19.7109375" bestFit="1" customWidth="1"/>
    <col min="22" max="22" width="10.28515625" bestFit="1" customWidth="1"/>
    <col min="23" max="23" width="10" bestFit="1" customWidth="1"/>
    <col min="24" max="24" width="15.28515625" bestFit="1" customWidth="1"/>
    <col min="25" max="25" width="9.28515625" bestFit="1" customWidth="1"/>
    <col min="26" max="26" width="8.28515625" bestFit="1" customWidth="1"/>
    <col min="27" max="27" width="12.7109375" bestFit="1" customWidth="1"/>
    <col min="28" max="28" width="15.28515625" bestFit="1" customWidth="1"/>
    <col min="29" max="29" width="13.28515625" bestFit="1" customWidth="1"/>
  </cols>
  <sheetData>
    <row r="1" spans="1:29" ht="18" x14ac:dyDescent="0.35">
      <c r="A1" s="1" t="s">
        <v>0</v>
      </c>
      <c r="K1" s="1" t="s">
        <v>22</v>
      </c>
      <c r="U1" s="3" t="s">
        <v>72</v>
      </c>
      <c r="V1" s="4" t="s">
        <v>3</v>
      </c>
      <c r="W1" s="4" t="s">
        <v>4</v>
      </c>
      <c r="X1" s="4" t="s">
        <v>5</v>
      </c>
      <c r="Y1" s="4" t="s">
        <v>6</v>
      </c>
      <c r="Z1" s="4" t="s">
        <v>7</v>
      </c>
      <c r="AA1" s="4" t="s">
        <v>8</v>
      </c>
      <c r="AB1" s="4" t="s">
        <v>9</v>
      </c>
      <c r="AC1" s="4" t="s">
        <v>10</v>
      </c>
    </row>
    <row r="2" spans="1:29" x14ac:dyDescent="0.25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K2" s="3" t="s">
        <v>24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U2" s="6" t="s">
        <v>3</v>
      </c>
      <c r="V2" s="13">
        <v>0</v>
      </c>
      <c r="W2" s="13">
        <v>0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</row>
    <row r="3" spans="1:29" ht="14.45" customHeight="1" x14ac:dyDescent="0.25">
      <c r="A3" s="6" t="s">
        <v>3</v>
      </c>
      <c r="B3" s="7">
        <v>0</v>
      </c>
      <c r="C3" s="7">
        <v>61</v>
      </c>
      <c r="D3" s="7">
        <v>28</v>
      </c>
      <c r="E3" s="7">
        <v>46</v>
      </c>
      <c r="F3" s="7">
        <v>38</v>
      </c>
      <c r="G3" s="7">
        <v>17</v>
      </c>
      <c r="H3" s="7">
        <v>44</v>
      </c>
      <c r="I3" s="7">
        <v>49</v>
      </c>
      <c r="K3" s="6" t="s">
        <v>3</v>
      </c>
      <c r="L3" s="7">
        <v>0</v>
      </c>
      <c r="M3" s="7">
        <v>1280</v>
      </c>
      <c r="N3" s="7">
        <v>760</v>
      </c>
      <c r="O3" s="7">
        <v>1020</v>
      </c>
      <c r="P3" s="7">
        <v>800</v>
      </c>
      <c r="Q3" s="7">
        <v>360</v>
      </c>
      <c r="R3" s="7">
        <v>1320</v>
      </c>
      <c r="S3" s="7">
        <v>1010</v>
      </c>
      <c r="U3" s="6" t="s">
        <v>4</v>
      </c>
      <c r="V3" s="13">
        <v>0</v>
      </c>
      <c r="W3" s="13">
        <v>0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</row>
    <row r="4" spans="1:29" x14ac:dyDescent="0.25">
      <c r="A4" s="6" t="s">
        <v>4</v>
      </c>
      <c r="B4" s="7">
        <v>83</v>
      </c>
      <c r="C4" s="7">
        <v>0</v>
      </c>
      <c r="D4" s="7">
        <v>35</v>
      </c>
      <c r="E4" s="7">
        <v>104</v>
      </c>
      <c r="F4" s="7">
        <v>39</v>
      </c>
      <c r="G4" s="7">
        <v>40</v>
      </c>
      <c r="H4" s="7">
        <v>79</v>
      </c>
      <c r="I4" s="7">
        <v>49</v>
      </c>
      <c r="K4" s="6" t="s">
        <v>4</v>
      </c>
      <c r="L4" s="7">
        <v>1440</v>
      </c>
      <c r="M4" s="7">
        <v>0</v>
      </c>
      <c r="N4" s="7">
        <v>480</v>
      </c>
      <c r="O4" s="7">
        <v>2400</v>
      </c>
      <c r="P4" s="7">
        <v>1020</v>
      </c>
      <c r="Q4" s="7">
        <v>865</v>
      </c>
      <c r="R4" s="7">
        <v>1695</v>
      </c>
      <c r="S4" s="7">
        <v>1345</v>
      </c>
      <c r="U4" s="6" t="s">
        <v>5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</row>
    <row r="5" spans="1:29" x14ac:dyDescent="0.25">
      <c r="A5" s="6" t="s">
        <v>5</v>
      </c>
      <c r="B5" s="7">
        <v>28</v>
      </c>
      <c r="C5" s="7">
        <v>39</v>
      </c>
      <c r="D5" s="7">
        <v>0</v>
      </c>
      <c r="E5" s="7">
        <v>87</v>
      </c>
      <c r="F5" s="7">
        <v>40</v>
      </c>
      <c r="G5" s="7">
        <v>15</v>
      </c>
      <c r="H5" s="7">
        <v>80</v>
      </c>
      <c r="I5" s="7">
        <v>50</v>
      </c>
      <c r="K5" s="6" t="s">
        <v>5</v>
      </c>
      <c r="L5" s="7">
        <v>805</v>
      </c>
      <c r="M5" s="7">
        <v>480</v>
      </c>
      <c r="N5" s="7">
        <v>0</v>
      </c>
      <c r="O5" s="7">
        <v>1860</v>
      </c>
      <c r="P5" s="7">
        <v>735</v>
      </c>
      <c r="Q5" s="7">
        <v>435</v>
      </c>
      <c r="R5" s="7">
        <v>1305</v>
      </c>
      <c r="S5" s="7">
        <v>1155</v>
      </c>
      <c r="U5" s="6" t="s">
        <v>6</v>
      </c>
      <c r="V5" s="13">
        <v>0</v>
      </c>
      <c r="W5" s="13">
        <v>0</v>
      </c>
      <c r="X5" s="13">
        <v>0</v>
      </c>
      <c r="Y5" s="13">
        <v>0</v>
      </c>
      <c r="Z5" s="13">
        <v>0</v>
      </c>
      <c r="AA5" s="13">
        <v>0</v>
      </c>
      <c r="AB5" s="13">
        <v>0</v>
      </c>
      <c r="AC5" s="13">
        <v>0</v>
      </c>
    </row>
    <row r="6" spans="1:29" x14ac:dyDescent="0.25">
      <c r="A6" s="6" t="s">
        <v>6</v>
      </c>
      <c r="B6" s="7">
        <v>58</v>
      </c>
      <c r="C6" s="7">
        <v>104</v>
      </c>
      <c r="D6" s="7">
        <v>105</v>
      </c>
      <c r="E6" s="7">
        <v>0</v>
      </c>
      <c r="F6" s="7">
        <v>49</v>
      </c>
      <c r="G6" s="7">
        <v>65</v>
      </c>
      <c r="H6" s="7">
        <v>30</v>
      </c>
      <c r="I6" s="7">
        <v>35</v>
      </c>
      <c r="K6" s="6" t="s">
        <v>6</v>
      </c>
      <c r="L6" s="7">
        <v>1265</v>
      </c>
      <c r="M6" s="7">
        <v>2340</v>
      </c>
      <c r="N6" s="7">
        <v>2220</v>
      </c>
      <c r="O6" s="7">
        <v>0</v>
      </c>
      <c r="P6" s="7">
        <v>1155</v>
      </c>
      <c r="Q6" s="7">
        <v>1560</v>
      </c>
      <c r="R6" s="7">
        <v>995</v>
      </c>
      <c r="S6" s="7">
        <v>1125</v>
      </c>
      <c r="U6" s="6" t="s">
        <v>7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</row>
    <row r="7" spans="1:29" x14ac:dyDescent="0.25">
      <c r="A7" s="6" t="s">
        <v>7</v>
      </c>
      <c r="B7" s="7">
        <v>38</v>
      </c>
      <c r="C7" s="7">
        <v>39</v>
      </c>
      <c r="D7" s="7">
        <v>40</v>
      </c>
      <c r="E7" s="7">
        <v>49</v>
      </c>
      <c r="F7" s="7">
        <v>0</v>
      </c>
      <c r="G7" s="7">
        <v>29</v>
      </c>
      <c r="H7" s="7">
        <v>25</v>
      </c>
      <c r="I7" s="7">
        <v>10</v>
      </c>
      <c r="K7" s="6" t="s">
        <v>7</v>
      </c>
      <c r="L7" s="7">
        <v>900</v>
      </c>
      <c r="M7" s="7">
        <v>980</v>
      </c>
      <c r="N7" s="7">
        <v>740</v>
      </c>
      <c r="O7" s="7">
        <v>1170</v>
      </c>
      <c r="P7" s="7">
        <v>0</v>
      </c>
      <c r="Q7" s="7">
        <v>600</v>
      </c>
      <c r="R7" s="7">
        <v>525</v>
      </c>
      <c r="S7" s="7">
        <v>255</v>
      </c>
      <c r="U7" s="6" t="s">
        <v>8</v>
      </c>
      <c r="V7" s="13">
        <v>1</v>
      </c>
      <c r="W7" s="13">
        <v>0</v>
      </c>
      <c r="X7" s="13">
        <v>0</v>
      </c>
      <c r="Y7" s="13">
        <v>0</v>
      </c>
      <c r="Z7" s="13">
        <v>0</v>
      </c>
      <c r="AA7" s="13">
        <v>0</v>
      </c>
      <c r="AB7" s="13">
        <v>0</v>
      </c>
      <c r="AC7" s="13">
        <v>0</v>
      </c>
    </row>
    <row r="8" spans="1:29" x14ac:dyDescent="0.25">
      <c r="A8" s="6" t="s">
        <v>8</v>
      </c>
      <c r="B8" s="7">
        <v>24</v>
      </c>
      <c r="C8" s="7">
        <v>52</v>
      </c>
      <c r="D8" s="7">
        <v>15</v>
      </c>
      <c r="E8" s="7">
        <v>103</v>
      </c>
      <c r="F8" s="7">
        <v>29</v>
      </c>
      <c r="G8" s="7">
        <v>0</v>
      </c>
      <c r="H8" s="7">
        <v>69</v>
      </c>
      <c r="I8" s="7">
        <v>49</v>
      </c>
      <c r="K8" s="6" t="s">
        <v>8</v>
      </c>
      <c r="L8" s="7">
        <v>335</v>
      </c>
      <c r="M8" s="7">
        <v>1125</v>
      </c>
      <c r="N8" s="7">
        <v>410</v>
      </c>
      <c r="O8" s="7">
        <v>1385</v>
      </c>
      <c r="P8" s="7">
        <v>620</v>
      </c>
      <c r="Q8" s="7">
        <v>0</v>
      </c>
      <c r="R8" s="7">
        <v>1280</v>
      </c>
      <c r="S8" s="7">
        <v>980</v>
      </c>
      <c r="U8" s="6" t="s">
        <v>9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</row>
    <row r="9" spans="1:29" x14ac:dyDescent="0.25">
      <c r="A9" s="6" t="s">
        <v>9</v>
      </c>
      <c r="B9" s="7">
        <v>49</v>
      </c>
      <c r="C9" s="7">
        <v>79</v>
      </c>
      <c r="D9" s="7">
        <v>80</v>
      </c>
      <c r="E9" s="7">
        <v>46</v>
      </c>
      <c r="F9" s="7">
        <v>40</v>
      </c>
      <c r="G9" s="7">
        <v>69</v>
      </c>
      <c r="H9" s="7">
        <v>0</v>
      </c>
      <c r="I9" s="7">
        <v>10</v>
      </c>
      <c r="K9" s="6" t="s">
        <v>9</v>
      </c>
      <c r="L9" s="7">
        <v>1260</v>
      </c>
      <c r="M9" s="7">
        <v>1560</v>
      </c>
      <c r="N9" s="7">
        <v>1200</v>
      </c>
      <c r="O9" s="7">
        <v>1020</v>
      </c>
      <c r="P9" s="7">
        <v>420</v>
      </c>
      <c r="Q9" s="7">
        <v>1140</v>
      </c>
      <c r="R9" s="7">
        <v>0</v>
      </c>
      <c r="S9" s="7">
        <v>180</v>
      </c>
      <c r="U9" s="6" t="s">
        <v>10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</row>
    <row r="10" spans="1:29" x14ac:dyDescent="0.25">
      <c r="A10" s="6" t="s">
        <v>10</v>
      </c>
      <c r="B10" s="7">
        <v>49</v>
      </c>
      <c r="C10" s="7">
        <v>49</v>
      </c>
      <c r="D10" s="7">
        <v>60</v>
      </c>
      <c r="E10" s="7">
        <v>49</v>
      </c>
      <c r="F10" s="7">
        <v>10</v>
      </c>
      <c r="G10" s="7">
        <v>39</v>
      </c>
      <c r="H10" s="7">
        <v>10</v>
      </c>
      <c r="I10" s="7">
        <v>0</v>
      </c>
      <c r="K10" s="6" t="s">
        <v>10</v>
      </c>
      <c r="L10" s="7">
        <v>1000</v>
      </c>
      <c r="M10" s="7">
        <v>1320</v>
      </c>
      <c r="N10" s="7">
        <v>1080</v>
      </c>
      <c r="O10" s="7">
        <v>1050</v>
      </c>
      <c r="P10" s="7">
        <v>240</v>
      </c>
      <c r="Q10" s="7">
        <v>890</v>
      </c>
      <c r="R10" s="7">
        <v>180</v>
      </c>
      <c r="S10" s="7">
        <v>0</v>
      </c>
      <c r="U10" s="1"/>
    </row>
    <row r="11" spans="1:29" ht="18" x14ac:dyDescent="0.35">
      <c r="T11" s="11"/>
      <c r="U11" s="5" t="s">
        <v>71</v>
      </c>
      <c r="V11" s="4" t="s">
        <v>3</v>
      </c>
      <c r="W11" s="4" t="s">
        <v>4</v>
      </c>
      <c r="X11" s="4" t="s">
        <v>5</v>
      </c>
      <c r="Y11" s="4" t="s">
        <v>6</v>
      </c>
      <c r="Z11" s="4" t="s">
        <v>7</v>
      </c>
      <c r="AA11" s="4" t="s">
        <v>8</v>
      </c>
      <c r="AB11" s="4" t="s">
        <v>9</v>
      </c>
      <c r="AC11" s="4" t="s">
        <v>10</v>
      </c>
    </row>
    <row r="12" spans="1:29" x14ac:dyDescent="0.25">
      <c r="A12" s="1" t="s">
        <v>45</v>
      </c>
      <c r="K12" s="1" t="s">
        <v>57</v>
      </c>
      <c r="T12" s="11"/>
      <c r="U12" s="6" t="s">
        <v>3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</row>
    <row r="13" spans="1:29" x14ac:dyDescent="0.25">
      <c r="A13" s="5" t="s">
        <v>2</v>
      </c>
      <c r="B13" s="4" t="s">
        <v>3</v>
      </c>
      <c r="C13" s="4" t="s">
        <v>4</v>
      </c>
      <c r="D13" s="4" t="s">
        <v>5</v>
      </c>
      <c r="E13" s="4" t="s">
        <v>6</v>
      </c>
      <c r="F13" s="4" t="s">
        <v>7</v>
      </c>
      <c r="G13" s="4" t="s">
        <v>8</v>
      </c>
      <c r="H13" s="4" t="s">
        <v>9</v>
      </c>
      <c r="I13" s="4" t="s">
        <v>10</v>
      </c>
      <c r="K13" s="3" t="s">
        <v>24</v>
      </c>
      <c r="L13" s="4" t="s">
        <v>3</v>
      </c>
      <c r="M13" s="4" t="s">
        <v>4</v>
      </c>
      <c r="N13" s="4" t="s">
        <v>5</v>
      </c>
      <c r="O13" s="4" t="s">
        <v>6</v>
      </c>
      <c r="P13" s="4" t="s">
        <v>7</v>
      </c>
      <c r="Q13" s="4" t="s">
        <v>8</v>
      </c>
      <c r="R13" s="4" t="s">
        <v>9</v>
      </c>
      <c r="S13" s="4" t="s">
        <v>10</v>
      </c>
      <c r="T13" s="11"/>
      <c r="U13" s="6" t="s">
        <v>4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</row>
    <row r="14" spans="1:29" x14ac:dyDescent="0.25">
      <c r="A14" s="6" t="s">
        <v>3</v>
      </c>
      <c r="B14" s="7">
        <v>0</v>
      </c>
      <c r="C14" s="7">
        <v>73</v>
      </c>
      <c r="D14" s="7">
        <v>64</v>
      </c>
      <c r="E14" s="7">
        <v>81</v>
      </c>
      <c r="F14" s="7">
        <v>93</v>
      </c>
      <c r="G14" s="7">
        <v>106</v>
      </c>
      <c r="H14" s="7">
        <v>65</v>
      </c>
      <c r="I14" s="7">
        <v>88</v>
      </c>
      <c r="K14" s="6" t="s">
        <v>3</v>
      </c>
      <c r="L14" s="7">
        <v>0</v>
      </c>
      <c r="M14" s="7">
        <v>73</v>
      </c>
      <c r="N14" s="7">
        <v>64</v>
      </c>
      <c r="O14" s="7">
        <v>81</v>
      </c>
      <c r="P14" s="7">
        <v>390</v>
      </c>
      <c r="Q14" s="7">
        <v>320</v>
      </c>
      <c r="R14" s="7">
        <v>345</v>
      </c>
      <c r="S14" s="7">
        <v>370</v>
      </c>
      <c r="U14" s="6" t="s">
        <v>5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</row>
    <row r="15" spans="1:29" x14ac:dyDescent="0.25">
      <c r="A15" s="6" t="s">
        <v>4</v>
      </c>
      <c r="B15" s="7">
        <v>76</v>
      </c>
      <c r="C15" s="7">
        <v>0</v>
      </c>
      <c r="D15" s="7">
        <v>25</v>
      </c>
      <c r="E15" s="7">
        <v>37</v>
      </c>
      <c r="F15" s="7">
        <v>20</v>
      </c>
      <c r="G15" s="7">
        <v>26</v>
      </c>
      <c r="H15" s="7">
        <v>64</v>
      </c>
      <c r="I15" s="7">
        <v>20</v>
      </c>
      <c r="K15" s="6" t="s">
        <v>4</v>
      </c>
      <c r="L15" s="7">
        <v>410</v>
      </c>
      <c r="M15" s="7">
        <v>0</v>
      </c>
      <c r="N15" s="7">
        <v>75</v>
      </c>
      <c r="O15" s="7">
        <v>175</v>
      </c>
      <c r="P15" s="7">
        <v>130</v>
      </c>
      <c r="Q15" s="7">
        <v>105</v>
      </c>
      <c r="R15" s="7">
        <v>215</v>
      </c>
      <c r="S15" s="7">
        <v>200</v>
      </c>
      <c r="U15" s="6" t="s">
        <v>6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</row>
    <row r="16" spans="1:29" x14ac:dyDescent="0.25">
      <c r="A16" s="6" t="s">
        <v>5</v>
      </c>
      <c r="B16" s="7">
        <v>65</v>
      </c>
      <c r="C16" s="7">
        <v>39</v>
      </c>
      <c r="D16" s="7">
        <v>0</v>
      </c>
      <c r="E16" s="7">
        <v>29</v>
      </c>
      <c r="F16" s="7">
        <v>21</v>
      </c>
      <c r="G16" s="7">
        <v>23</v>
      </c>
      <c r="H16" s="7">
        <v>33</v>
      </c>
      <c r="I16" s="7">
        <v>17</v>
      </c>
      <c r="K16" s="6" t="s">
        <v>5</v>
      </c>
      <c r="L16" s="7">
        <v>355</v>
      </c>
      <c r="M16" s="7">
        <v>80</v>
      </c>
      <c r="N16" s="7">
        <v>0</v>
      </c>
      <c r="O16" s="7">
        <v>145</v>
      </c>
      <c r="P16" s="7">
        <v>120</v>
      </c>
      <c r="Q16" s="7">
        <v>65</v>
      </c>
      <c r="R16" s="7">
        <v>150</v>
      </c>
      <c r="S16" s="7">
        <v>145</v>
      </c>
      <c r="U16" s="6" t="s">
        <v>7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0</v>
      </c>
      <c r="AB16" s="13">
        <v>0</v>
      </c>
      <c r="AC16" s="13">
        <v>0</v>
      </c>
    </row>
    <row r="17" spans="1:29" x14ac:dyDescent="0.25">
      <c r="A17" s="6" t="s">
        <v>6</v>
      </c>
      <c r="B17" s="7">
        <v>104</v>
      </c>
      <c r="C17" s="7">
        <v>44</v>
      </c>
      <c r="D17" s="7">
        <v>27</v>
      </c>
      <c r="E17" s="7">
        <v>0</v>
      </c>
      <c r="F17" s="7">
        <v>34</v>
      </c>
      <c r="G17" s="7">
        <v>90</v>
      </c>
      <c r="H17" s="7">
        <v>99</v>
      </c>
      <c r="I17" s="7">
        <v>25</v>
      </c>
      <c r="K17" s="6" t="s">
        <v>6</v>
      </c>
      <c r="L17" s="7">
        <v>395</v>
      </c>
      <c r="M17" s="7">
        <v>190</v>
      </c>
      <c r="N17" s="7">
        <v>140</v>
      </c>
      <c r="O17" s="7">
        <v>0</v>
      </c>
      <c r="P17" s="7">
        <v>120</v>
      </c>
      <c r="Q17" s="7">
        <v>365</v>
      </c>
      <c r="R17" s="7">
        <v>115</v>
      </c>
      <c r="S17" s="7">
        <v>105</v>
      </c>
      <c r="U17" s="6" t="s">
        <v>8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</row>
    <row r="18" spans="1:29" x14ac:dyDescent="0.25">
      <c r="A18" s="6" t="s">
        <v>7</v>
      </c>
      <c r="B18" s="7">
        <v>91</v>
      </c>
      <c r="C18" s="7">
        <v>29</v>
      </c>
      <c r="D18" s="7">
        <v>18</v>
      </c>
      <c r="E18" s="7">
        <v>22</v>
      </c>
      <c r="F18" s="7">
        <v>0</v>
      </c>
      <c r="G18" s="7">
        <v>51</v>
      </c>
      <c r="H18" s="7">
        <v>39</v>
      </c>
      <c r="I18" s="7">
        <v>114</v>
      </c>
      <c r="K18" s="6" t="s">
        <v>7</v>
      </c>
      <c r="L18" s="7">
        <v>240</v>
      </c>
      <c r="M18" s="7">
        <v>140</v>
      </c>
      <c r="N18" s="7">
        <v>105</v>
      </c>
      <c r="O18" s="7">
        <v>115</v>
      </c>
      <c r="P18" s="7">
        <v>0</v>
      </c>
      <c r="Q18" s="7">
        <v>80</v>
      </c>
      <c r="R18" s="7">
        <v>75</v>
      </c>
      <c r="S18" s="7">
        <v>55</v>
      </c>
      <c r="U18" s="6" t="s">
        <v>9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</row>
    <row r="19" spans="1:29" x14ac:dyDescent="0.25">
      <c r="A19" s="6" t="s">
        <v>8</v>
      </c>
      <c r="B19" s="7">
        <v>89</v>
      </c>
      <c r="C19" s="7">
        <v>48</v>
      </c>
      <c r="D19" s="7">
        <v>25</v>
      </c>
      <c r="E19" s="7">
        <v>88</v>
      </c>
      <c r="F19" s="7">
        <v>50</v>
      </c>
      <c r="G19" s="7">
        <v>0</v>
      </c>
      <c r="H19" s="7">
        <v>126</v>
      </c>
      <c r="I19" s="7">
        <v>28</v>
      </c>
      <c r="K19" s="6" t="s">
        <v>8</v>
      </c>
      <c r="L19" s="7">
        <v>390</v>
      </c>
      <c r="M19" s="7">
        <v>90</v>
      </c>
      <c r="N19" s="7">
        <v>65</v>
      </c>
      <c r="O19" s="7">
        <v>320</v>
      </c>
      <c r="P19" s="7">
        <v>90</v>
      </c>
      <c r="Q19" s="7">
        <v>0</v>
      </c>
      <c r="R19" s="7">
        <v>130</v>
      </c>
      <c r="S19" s="7">
        <v>110</v>
      </c>
      <c r="U19" s="6" t="s">
        <v>10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</row>
    <row r="20" spans="1:29" x14ac:dyDescent="0.25">
      <c r="A20" s="6" t="s">
        <v>9</v>
      </c>
      <c r="B20" s="7">
        <v>146</v>
      </c>
      <c r="C20" s="7">
        <v>60</v>
      </c>
      <c r="D20" s="7">
        <v>58</v>
      </c>
      <c r="E20" s="7">
        <v>116</v>
      </c>
      <c r="F20" s="7">
        <v>59</v>
      </c>
      <c r="G20" s="7">
        <v>133</v>
      </c>
      <c r="H20" s="7">
        <v>0</v>
      </c>
      <c r="I20" s="7">
        <v>147</v>
      </c>
      <c r="K20" s="6" t="s">
        <v>9</v>
      </c>
      <c r="L20" s="7">
        <v>150</v>
      </c>
      <c r="M20" s="7">
        <v>160</v>
      </c>
      <c r="N20" s="7">
        <v>135</v>
      </c>
      <c r="O20" s="7">
        <v>105</v>
      </c>
      <c r="P20" s="7">
        <v>80</v>
      </c>
      <c r="Q20" s="7">
        <v>115</v>
      </c>
      <c r="R20" s="7">
        <v>0</v>
      </c>
      <c r="S20" s="7">
        <v>45</v>
      </c>
    </row>
    <row r="21" spans="1:29" ht="18" x14ac:dyDescent="0.35">
      <c r="A21" s="6" t="s">
        <v>10</v>
      </c>
      <c r="B21" s="7">
        <v>73</v>
      </c>
      <c r="C21" s="7">
        <v>26</v>
      </c>
      <c r="D21" s="7">
        <v>27</v>
      </c>
      <c r="E21" s="7">
        <v>19</v>
      </c>
      <c r="F21" s="7">
        <v>217</v>
      </c>
      <c r="G21" s="7">
        <v>21</v>
      </c>
      <c r="H21" s="7">
        <v>148</v>
      </c>
      <c r="I21" s="7">
        <v>0</v>
      </c>
      <c r="K21" s="6" t="s">
        <v>10</v>
      </c>
      <c r="L21" s="7">
        <v>260</v>
      </c>
      <c r="M21" s="7">
        <v>140</v>
      </c>
      <c r="N21" s="7">
        <v>120</v>
      </c>
      <c r="O21" s="7">
        <v>1.45</v>
      </c>
      <c r="P21" s="7">
        <v>60</v>
      </c>
      <c r="Q21" s="7">
        <v>105</v>
      </c>
      <c r="R21" s="7">
        <v>55</v>
      </c>
      <c r="S21" s="7">
        <v>0</v>
      </c>
      <c r="U21" s="3" t="s">
        <v>70</v>
      </c>
      <c r="V21" s="4" t="s">
        <v>3</v>
      </c>
      <c r="W21" s="4" t="s">
        <v>4</v>
      </c>
      <c r="X21" s="4" t="s">
        <v>5</v>
      </c>
      <c r="Y21" s="4" t="s">
        <v>6</v>
      </c>
      <c r="Z21" s="4" t="s">
        <v>7</v>
      </c>
      <c r="AA21" s="4" t="s">
        <v>8</v>
      </c>
      <c r="AB21" s="4" t="s">
        <v>9</v>
      </c>
      <c r="AC21" s="4" t="s">
        <v>10</v>
      </c>
    </row>
    <row r="22" spans="1:29" x14ac:dyDescent="0.25">
      <c r="T22" s="11"/>
      <c r="U22" s="6" t="s">
        <v>3</v>
      </c>
      <c r="V22" s="13">
        <v>0</v>
      </c>
      <c r="W22" s="13">
        <v>1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</row>
    <row r="23" spans="1:29" x14ac:dyDescent="0.25">
      <c r="A23" s="1" t="s">
        <v>27</v>
      </c>
      <c r="K23" s="1" t="s">
        <v>33</v>
      </c>
      <c r="T23" s="11"/>
      <c r="U23" s="6" t="s">
        <v>4</v>
      </c>
      <c r="V23" s="13">
        <v>0</v>
      </c>
      <c r="W23" s="13">
        <v>0</v>
      </c>
      <c r="X23" s="13">
        <v>1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</row>
    <row r="24" spans="1:29" x14ac:dyDescent="0.25">
      <c r="A24" s="3" t="s">
        <v>2</v>
      </c>
      <c r="B24" s="4" t="s">
        <v>3</v>
      </c>
      <c r="C24" s="4" t="s">
        <v>4</v>
      </c>
      <c r="D24" s="4" t="s">
        <v>5</v>
      </c>
      <c r="E24" s="4" t="s">
        <v>6</v>
      </c>
      <c r="F24" s="4" t="s">
        <v>7</v>
      </c>
      <c r="G24" s="4" t="s">
        <v>8</v>
      </c>
      <c r="H24" s="4" t="s">
        <v>9</v>
      </c>
      <c r="I24" s="4" t="s">
        <v>10</v>
      </c>
      <c r="K24" s="3" t="s">
        <v>24</v>
      </c>
      <c r="L24" s="4" t="s">
        <v>3</v>
      </c>
      <c r="M24" s="4" t="s">
        <v>4</v>
      </c>
      <c r="N24" s="4" t="s">
        <v>5</v>
      </c>
      <c r="O24" s="4" t="s">
        <v>6</v>
      </c>
      <c r="P24" s="4" t="s">
        <v>7</v>
      </c>
      <c r="Q24" s="4" t="s">
        <v>8</v>
      </c>
      <c r="R24" s="4" t="s">
        <v>9</v>
      </c>
      <c r="S24" s="4" t="s">
        <v>10</v>
      </c>
      <c r="T24" s="11"/>
      <c r="U24" s="6" t="s">
        <v>5</v>
      </c>
      <c r="V24" s="13">
        <v>0</v>
      </c>
      <c r="W24" s="13">
        <v>0</v>
      </c>
      <c r="X24" s="13">
        <v>0</v>
      </c>
      <c r="Y24" s="13">
        <v>0</v>
      </c>
      <c r="Z24" s="13">
        <v>1</v>
      </c>
      <c r="AA24" s="13">
        <v>0</v>
      </c>
      <c r="AB24" s="13">
        <v>0</v>
      </c>
      <c r="AC24" s="13">
        <v>0</v>
      </c>
    </row>
    <row r="25" spans="1:29" x14ac:dyDescent="0.25">
      <c r="A25" s="6" t="s">
        <v>3</v>
      </c>
      <c r="B25" s="7">
        <v>0</v>
      </c>
      <c r="C25" s="7">
        <v>104</v>
      </c>
      <c r="D25" s="7">
        <v>82.25</v>
      </c>
      <c r="E25" s="7">
        <v>65.790000000000006</v>
      </c>
      <c r="F25" s="7">
        <v>79.900000000000006</v>
      </c>
      <c r="G25" s="7">
        <v>23.09</v>
      </c>
      <c r="H25" s="7">
        <v>93.8</v>
      </c>
      <c r="I25" s="7">
        <v>90.9</v>
      </c>
      <c r="K25" s="6" t="s">
        <v>3</v>
      </c>
      <c r="L25" s="7">
        <v>0</v>
      </c>
      <c r="M25" s="7">
        <v>982</v>
      </c>
      <c r="N25" s="7">
        <v>774</v>
      </c>
      <c r="O25" s="7">
        <v>767</v>
      </c>
      <c r="P25" s="7">
        <v>624</v>
      </c>
      <c r="Q25" s="7">
        <v>492</v>
      </c>
      <c r="R25" s="7">
        <v>851</v>
      </c>
      <c r="S25" s="7">
        <v>710</v>
      </c>
      <c r="U25" s="6" t="s">
        <v>6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</row>
    <row r="26" spans="1:29" x14ac:dyDescent="0.25">
      <c r="A26" s="6" t="s">
        <v>4</v>
      </c>
      <c r="B26" s="7">
        <v>105</v>
      </c>
      <c r="C26" s="7">
        <v>0</v>
      </c>
      <c r="D26" s="7">
        <v>18</v>
      </c>
      <c r="E26" s="7">
        <v>179.13</v>
      </c>
      <c r="F26" s="7">
        <v>94</v>
      </c>
      <c r="G26" s="7">
        <v>92.7</v>
      </c>
      <c r="H26" s="7">
        <v>212</v>
      </c>
      <c r="I26" s="7">
        <v>177</v>
      </c>
      <c r="K26" s="6" t="s">
        <v>4</v>
      </c>
      <c r="L26" s="7">
        <v>1049</v>
      </c>
      <c r="M26" s="7">
        <v>0</v>
      </c>
      <c r="N26" s="7">
        <v>165</v>
      </c>
      <c r="O26" s="7">
        <v>1482</v>
      </c>
      <c r="P26" s="7">
        <v>676</v>
      </c>
      <c r="Q26" s="7">
        <v>606</v>
      </c>
      <c r="R26" s="7">
        <v>879</v>
      </c>
      <c r="S26" s="7">
        <v>762</v>
      </c>
      <c r="U26" s="6" t="s">
        <v>7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1</v>
      </c>
      <c r="AB26" s="13">
        <v>0</v>
      </c>
      <c r="AC26" s="13">
        <v>0</v>
      </c>
    </row>
    <row r="27" spans="1:29" x14ac:dyDescent="0.25">
      <c r="A27" s="6" t="s">
        <v>5</v>
      </c>
      <c r="B27" s="7">
        <v>61</v>
      </c>
      <c r="C27" s="7">
        <v>15</v>
      </c>
      <c r="D27" s="7">
        <v>0</v>
      </c>
      <c r="E27" s="7">
        <v>121.88</v>
      </c>
      <c r="F27" s="7">
        <v>69</v>
      </c>
      <c r="G27" s="7">
        <v>24.69</v>
      </c>
      <c r="H27" s="7">
        <v>103.99</v>
      </c>
      <c r="I27" s="7">
        <v>158</v>
      </c>
      <c r="K27" s="6" t="s">
        <v>5</v>
      </c>
      <c r="L27" s="7">
        <v>845</v>
      </c>
      <c r="M27" s="7">
        <v>150</v>
      </c>
      <c r="N27" s="7">
        <v>0</v>
      </c>
      <c r="O27" s="7">
        <v>1632</v>
      </c>
      <c r="P27" s="7">
        <v>409</v>
      </c>
      <c r="Q27" s="7">
        <v>516</v>
      </c>
      <c r="R27" s="7">
        <v>946</v>
      </c>
      <c r="S27" s="7">
        <v>554</v>
      </c>
      <c r="U27" s="6" t="s">
        <v>8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</row>
    <row r="28" spans="1:29" x14ac:dyDescent="0.25">
      <c r="A28" s="6" t="s">
        <v>6</v>
      </c>
      <c r="B28" s="7">
        <v>67.3</v>
      </c>
      <c r="C28" s="7">
        <v>148.9</v>
      </c>
      <c r="D28" s="7">
        <v>157.9</v>
      </c>
      <c r="E28" s="7">
        <v>0</v>
      </c>
      <c r="F28" s="7">
        <v>76.900000000000006</v>
      </c>
      <c r="G28" s="7">
        <v>98.9</v>
      </c>
      <c r="H28" s="7">
        <v>51.89</v>
      </c>
      <c r="I28" s="7">
        <v>99.9</v>
      </c>
      <c r="K28" s="6" t="s">
        <v>6</v>
      </c>
      <c r="L28" s="7">
        <v>855</v>
      </c>
      <c r="M28" s="7">
        <v>1665</v>
      </c>
      <c r="N28" s="7">
        <v>1497</v>
      </c>
      <c r="O28" s="7">
        <v>0</v>
      </c>
      <c r="P28" s="7">
        <v>638</v>
      </c>
      <c r="Q28" s="7">
        <v>1253</v>
      </c>
      <c r="R28" s="7">
        <v>741</v>
      </c>
      <c r="S28" s="7">
        <v>622</v>
      </c>
      <c r="U28" s="6" t="s">
        <v>9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</row>
    <row r="29" spans="1:29" x14ac:dyDescent="0.25">
      <c r="A29" s="6" t="s">
        <v>7</v>
      </c>
      <c r="B29" s="7">
        <v>61.9</v>
      </c>
      <c r="C29" s="7">
        <v>67.599999999999994</v>
      </c>
      <c r="D29" s="7">
        <v>106</v>
      </c>
      <c r="E29" s="7">
        <v>63.89</v>
      </c>
      <c r="F29" s="7">
        <v>0</v>
      </c>
      <c r="G29" s="7">
        <v>19</v>
      </c>
      <c r="H29" s="7">
        <v>48</v>
      </c>
      <c r="I29" s="7">
        <v>29</v>
      </c>
      <c r="K29" s="6" t="s">
        <v>7</v>
      </c>
      <c r="L29" s="7">
        <v>590</v>
      </c>
      <c r="M29" s="7">
        <v>744</v>
      </c>
      <c r="N29" s="7">
        <v>416</v>
      </c>
      <c r="O29" s="7">
        <v>627</v>
      </c>
      <c r="P29" s="7">
        <v>0</v>
      </c>
      <c r="Q29" s="7">
        <v>203</v>
      </c>
      <c r="R29" s="7">
        <v>199</v>
      </c>
      <c r="S29" s="7">
        <v>82</v>
      </c>
      <c r="U29" s="6" t="s">
        <v>10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</row>
    <row r="30" spans="1:29" x14ac:dyDescent="0.25">
      <c r="A30" s="6" t="s">
        <v>8</v>
      </c>
      <c r="B30" s="7">
        <v>28.19</v>
      </c>
      <c r="C30" s="7">
        <v>115.5</v>
      </c>
      <c r="D30" s="7">
        <v>58</v>
      </c>
      <c r="E30" s="7">
        <v>101.89</v>
      </c>
      <c r="F30" s="7">
        <v>29</v>
      </c>
      <c r="G30" s="7">
        <v>0</v>
      </c>
      <c r="H30" s="7">
        <v>89</v>
      </c>
      <c r="I30" s="7">
        <v>20.99</v>
      </c>
      <c r="K30" s="6" t="s">
        <v>8</v>
      </c>
      <c r="L30" s="7">
        <v>492</v>
      </c>
      <c r="M30" s="7">
        <v>526</v>
      </c>
      <c r="N30" s="7">
        <v>358</v>
      </c>
      <c r="O30" s="7">
        <v>1307</v>
      </c>
      <c r="P30" s="7">
        <v>206</v>
      </c>
      <c r="Q30" s="7">
        <v>0</v>
      </c>
      <c r="R30" s="7">
        <v>460</v>
      </c>
      <c r="S30" s="7">
        <v>488</v>
      </c>
    </row>
    <row r="31" spans="1:29" x14ac:dyDescent="0.25">
      <c r="A31" s="6" t="s">
        <v>9</v>
      </c>
      <c r="B31" s="7">
        <v>120.8</v>
      </c>
      <c r="C31" s="7">
        <v>165.99</v>
      </c>
      <c r="D31" s="7">
        <v>147</v>
      </c>
      <c r="E31" s="7">
        <v>51.89</v>
      </c>
      <c r="F31" s="7">
        <v>35</v>
      </c>
      <c r="G31" s="7">
        <v>84</v>
      </c>
      <c r="H31" s="7">
        <v>0</v>
      </c>
      <c r="I31" s="7">
        <v>29</v>
      </c>
      <c r="K31" s="6" t="s">
        <v>9</v>
      </c>
      <c r="L31" s="7">
        <v>816</v>
      </c>
      <c r="M31" s="7">
        <v>1237</v>
      </c>
      <c r="N31" s="7">
        <v>670</v>
      </c>
      <c r="O31" s="7">
        <v>792</v>
      </c>
      <c r="P31" s="7">
        <v>200</v>
      </c>
      <c r="Q31" s="7">
        <v>461</v>
      </c>
      <c r="R31" s="7">
        <v>0</v>
      </c>
      <c r="S31" s="7">
        <v>113</v>
      </c>
    </row>
    <row r="32" spans="1:29" x14ac:dyDescent="0.25">
      <c r="A32" s="6" t="s">
        <v>10</v>
      </c>
      <c r="B32" s="7">
        <v>80.900000000000006</v>
      </c>
      <c r="C32" s="7">
        <v>160</v>
      </c>
      <c r="D32" s="7">
        <v>135</v>
      </c>
      <c r="E32" s="7">
        <v>79.900000000000006</v>
      </c>
      <c r="F32" s="7">
        <v>29</v>
      </c>
      <c r="G32" s="7">
        <v>70</v>
      </c>
      <c r="H32" s="7">
        <v>29</v>
      </c>
      <c r="I32" s="7">
        <v>0</v>
      </c>
      <c r="K32" s="6" t="s">
        <v>10</v>
      </c>
      <c r="L32" s="7">
        <v>648</v>
      </c>
      <c r="M32" s="7">
        <v>807</v>
      </c>
      <c r="N32" s="7">
        <v>591</v>
      </c>
      <c r="O32" s="7">
        <v>624</v>
      </c>
      <c r="P32" s="7">
        <v>83</v>
      </c>
      <c r="Q32" s="7">
        <v>340</v>
      </c>
      <c r="R32" s="7">
        <v>112</v>
      </c>
      <c r="S32" s="7">
        <v>0</v>
      </c>
      <c r="U32" s="5" t="s">
        <v>68</v>
      </c>
    </row>
    <row r="33" spans="4:21" x14ac:dyDescent="0.25">
      <c r="U33" s="16">
        <f>SUMPRODUCT(L3:S10,V2:AC9)+SUMPRODUCT(V12:AC19,L25:S32)+SUMPRODUCT(L14:S21,V22:AC29)</f>
        <v>683</v>
      </c>
    </row>
    <row r="35" spans="4:21" x14ac:dyDescent="0.25">
      <c r="D35" s="2" t="s">
        <v>1</v>
      </c>
      <c r="E35" s="3" t="s">
        <v>69</v>
      </c>
      <c r="J35" s="3" t="s">
        <v>30</v>
      </c>
    </row>
    <row r="36" spans="4:21" x14ac:dyDescent="0.25">
      <c r="E36" s="8">
        <f>SUMPRODUCT(B3:I10,V2:AC9)+SUMPRODUCT(B25:I32,V12:AC19)+SUMPRODUCT(B14:I21,V22:AC29)</f>
        <v>194</v>
      </c>
      <c r="F36" s="10" t="s">
        <v>13</v>
      </c>
      <c r="G36" s="7">
        <v>200</v>
      </c>
      <c r="J36" t="s">
        <v>31</v>
      </c>
      <c r="K36" s="9">
        <f>SUM(W2,W12,W22,V3,V13,V23)</f>
        <v>1</v>
      </c>
      <c r="L36" s="10" t="s">
        <v>13</v>
      </c>
      <c r="M36" s="7">
        <v>1</v>
      </c>
    </row>
    <row r="37" spans="4:21" x14ac:dyDescent="0.25">
      <c r="J37" t="s">
        <v>32</v>
      </c>
      <c r="K37" s="9">
        <f>SUM(X2,V4,X12,V14,X22,V24)</f>
        <v>0</v>
      </c>
      <c r="L37" s="10" t="s">
        <v>13</v>
      </c>
      <c r="M37" s="7">
        <v>1</v>
      </c>
    </row>
    <row r="38" spans="4:21" x14ac:dyDescent="0.25">
      <c r="E38" s="3" t="s">
        <v>14</v>
      </c>
      <c r="J38" t="s">
        <v>34</v>
      </c>
      <c r="K38" s="9">
        <f>SUM(Y2,Y12,Y22,V5,V15,V25)</f>
        <v>0</v>
      </c>
      <c r="L38" s="10" t="s">
        <v>13</v>
      </c>
      <c r="M38" s="7">
        <v>1</v>
      </c>
    </row>
    <row r="39" spans="4:21" x14ac:dyDescent="0.25">
      <c r="E39" s="11" t="s">
        <v>15</v>
      </c>
      <c r="F39" s="9">
        <f t="shared" ref="F39:F46" si="0">SUM(V2:AC2)+SUM(V12:AC12)+SUM(V22:AC22)</f>
        <v>1</v>
      </c>
      <c r="G39" s="12" t="s">
        <v>16</v>
      </c>
      <c r="H39" s="7">
        <v>1</v>
      </c>
      <c r="J39" t="s">
        <v>35</v>
      </c>
      <c r="K39" s="9">
        <f>SUM(Z2,Z12,Z22,V16,V26,V6)</f>
        <v>0</v>
      </c>
      <c r="L39" s="10" t="s">
        <v>13</v>
      </c>
      <c r="M39" s="7">
        <v>1</v>
      </c>
    </row>
    <row r="40" spans="4:21" x14ac:dyDescent="0.25">
      <c r="E40" s="11" t="s">
        <v>17</v>
      </c>
      <c r="F40" s="9">
        <f t="shared" si="0"/>
        <v>1</v>
      </c>
      <c r="G40" s="10" t="s">
        <v>13</v>
      </c>
      <c r="H40" s="7">
        <v>1</v>
      </c>
      <c r="J40" t="s">
        <v>36</v>
      </c>
      <c r="K40" s="9">
        <f>SUM(AA2,AA12,AA22,V27,V17,V7)</f>
        <v>1</v>
      </c>
      <c r="L40" s="10" t="s">
        <v>13</v>
      </c>
      <c r="M40" s="7">
        <v>1</v>
      </c>
    </row>
    <row r="41" spans="4:21" x14ac:dyDescent="0.25">
      <c r="E41" s="11" t="s">
        <v>18</v>
      </c>
      <c r="F41" s="9">
        <f t="shared" si="0"/>
        <v>1</v>
      </c>
      <c r="G41" s="10" t="s">
        <v>13</v>
      </c>
      <c r="H41" s="7">
        <v>1</v>
      </c>
      <c r="J41" t="s">
        <v>37</v>
      </c>
      <c r="K41" s="9">
        <f>SUM(AB2,AB12,AB22,V8,V18,V28)</f>
        <v>0</v>
      </c>
      <c r="L41" s="10" t="s">
        <v>13</v>
      </c>
      <c r="M41" s="7">
        <v>1</v>
      </c>
    </row>
    <row r="42" spans="4:21" x14ac:dyDescent="0.25">
      <c r="E42" s="11" t="s">
        <v>19</v>
      </c>
      <c r="F42" s="9">
        <f t="shared" si="0"/>
        <v>0</v>
      </c>
      <c r="G42" s="10" t="s">
        <v>13</v>
      </c>
      <c r="H42" s="7">
        <v>1</v>
      </c>
      <c r="J42" t="s">
        <v>38</v>
      </c>
      <c r="K42" s="9">
        <f>SUM(AC2,AC12,AC22,V9,V19,V29)</f>
        <v>0</v>
      </c>
      <c r="L42" s="10" t="s">
        <v>13</v>
      </c>
      <c r="M42" s="7">
        <v>1</v>
      </c>
    </row>
    <row r="43" spans="4:21" x14ac:dyDescent="0.25">
      <c r="E43" s="11" t="s">
        <v>20</v>
      </c>
      <c r="F43" s="9">
        <f t="shared" si="0"/>
        <v>1</v>
      </c>
      <c r="G43" s="10" t="s">
        <v>13</v>
      </c>
      <c r="H43" s="7">
        <v>1</v>
      </c>
      <c r="J43" t="s">
        <v>39</v>
      </c>
      <c r="K43" s="9">
        <f>SUM(W4,W14,W24,X23,X13,X3)</f>
        <v>1</v>
      </c>
      <c r="L43" s="10" t="s">
        <v>13</v>
      </c>
      <c r="M43" s="7">
        <v>1</v>
      </c>
    </row>
    <row r="44" spans="4:21" x14ac:dyDescent="0.25">
      <c r="E44" s="11" t="s">
        <v>21</v>
      </c>
      <c r="F44" s="9">
        <f t="shared" si="0"/>
        <v>1</v>
      </c>
      <c r="G44" s="10" t="s">
        <v>13</v>
      </c>
      <c r="H44" s="7">
        <v>1</v>
      </c>
      <c r="J44" t="s">
        <v>40</v>
      </c>
      <c r="K44" s="9">
        <f>SUM(Y3,Y13,Y23,W25,W15,W5)</f>
        <v>0</v>
      </c>
      <c r="L44" s="10" t="s">
        <v>13</v>
      </c>
      <c r="M44" s="7">
        <v>1</v>
      </c>
    </row>
    <row r="45" spans="4:21" x14ac:dyDescent="0.25">
      <c r="E45" s="11" t="s">
        <v>23</v>
      </c>
      <c r="F45" s="9">
        <f t="shared" si="0"/>
        <v>0</v>
      </c>
      <c r="G45" s="10" t="s">
        <v>13</v>
      </c>
      <c r="H45" s="7">
        <v>1</v>
      </c>
      <c r="J45" t="s">
        <v>41</v>
      </c>
      <c r="K45" s="9">
        <f>SUM(Z3,Z13,Z23,W6,W16,W26)</f>
        <v>0</v>
      </c>
      <c r="L45" s="10" t="s">
        <v>13</v>
      </c>
      <c r="M45" s="7">
        <v>1</v>
      </c>
    </row>
    <row r="46" spans="4:21" x14ac:dyDescent="0.25">
      <c r="E46" s="11" t="s">
        <v>25</v>
      </c>
      <c r="F46" s="9">
        <f t="shared" si="0"/>
        <v>0</v>
      </c>
      <c r="G46" s="10" t="s">
        <v>13</v>
      </c>
      <c r="H46" s="7">
        <v>1</v>
      </c>
      <c r="J46" t="s">
        <v>42</v>
      </c>
      <c r="K46" s="9">
        <f>SUM(AA3,AA13,AA23,W27,W17,W7)</f>
        <v>0</v>
      </c>
      <c r="L46" s="10" t="s">
        <v>13</v>
      </c>
      <c r="M46" s="7">
        <v>1</v>
      </c>
    </row>
    <row r="47" spans="4:21" x14ac:dyDescent="0.25">
      <c r="J47" t="s">
        <v>43</v>
      </c>
      <c r="K47" s="9">
        <f>SUM(AB3,AB13,AB23,W28,W18,W8)</f>
        <v>0</v>
      </c>
      <c r="L47" s="10" t="s">
        <v>13</v>
      </c>
      <c r="M47" s="7">
        <v>1</v>
      </c>
    </row>
    <row r="48" spans="4:21" x14ac:dyDescent="0.25">
      <c r="E48" s="5" t="s">
        <v>26</v>
      </c>
      <c r="F48" s="11"/>
      <c r="J48" t="s">
        <v>44</v>
      </c>
      <c r="K48" s="9">
        <f>SUM(AC3,AC13,AC23,W29,W19,W9)</f>
        <v>0</v>
      </c>
      <c r="L48" s="10" t="s">
        <v>13</v>
      </c>
      <c r="M48" s="7">
        <v>1</v>
      </c>
    </row>
    <row r="49" spans="5:13" x14ac:dyDescent="0.25">
      <c r="E49" s="11" t="s">
        <v>15</v>
      </c>
      <c r="F49" s="9">
        <f t="shared" ref="F49:F56" si="1">SUM(V2:AC2)+SUM(V12:AC12)+SUM(V22:AC22)</f>
        <v>1</v>
      </c>
      <c r="G49" s="12" t="s">
        <v>16</v>
      </c>
      <c r="H49" s="9">
        <f>SUM(V2:V9)+SUM(V12:V19)+SUM(V22:V29)</f>
        <v>1</v>
      </c>
      <c r="J49" t="s">
        <v>46</v>
      </c>
      <c r="K49" s="9">
        <f>SUM(Y4,Y14,Y24,X25,X15,X5)</f>
        <v>0</v>
      </c>
      <c r="L49" s="10" t="s">
        <v>13</v>
      </c>
      <c r="M49" s="7">
        <v>1</v>
      </c>
    </row>
    <row r="50" spans="5:13" x14ac:dyDescent="0.25">
      <c r="E50" s="11" t="s">
        <v>17</v>
      </c>
      <c r="F50" s="9">
        <f t="shared" si="1"/>
        <v>1</v>
      </c>
      <c r="G50" s="12" t="s">
        <v>16</v>
      </c>
      <c r="H50" s="9">
        <f>SUM(W2:W9)+SUM(W12:W19)+SUM(W22:W29)</f>
        <v>1</v>
      </c>
      <c r="J50" t="s">
        <v>47</v>
      </c>
      <c r="K50" s="9">
        <f>SUM(Z4,Z14,Z24,X26,X16,X6)</f>
        <v>1</v>
      </c>
      <c r="L50" s="10" t="s">
        <v>13</v>
      </c>
      <c r="M50" s="7">
        <v>1</v>
      </c>
    </row>
    <row r="51" spans="5:13" x14ac:dyDescent="0.25">
      <c r="E51" s="11" t="s">
        <v>18</v>
      </c>
      <c r="F51" s="9">
        <f t="shared" si="1"/>
        <v>1</v>
      </c>
      <c r="G51" s="12" t="s">
        <v>16</v>
      </c>
      <c r="H51" s="9">
        <f>SUM(X2:X9)+SUM(X12:X19)+SUM(X22:X29)</f>
        <v>1</v>
      </c>
      <c r="J51" t="s">
        <v>48</v>
      </c>
      <c r="K51" s="9">
        <f>SUM(AA4,AA14,AA24,X27,X17,X7)</f>
        <v>0</v>
      </c>
      <c r="L51" s="10" t="s">
        <v>13</v>
      </c>
      <c r="M51" s="7">
        <v>1</v>
      </c>
    </row>
    <row r="52" spans="5:13" x14ac:dyDescent="0.25">
      <c r="E52" s="11" t="s">
        <v>19</v>
      </c>
      <c r="F52" s="9">
        <f t="shared" si="1"/>
        <v>0</v>
      </c>
      <c r="G52" s="12" t="s">
        <v>16</v>
      </c>
      <c r="H52" s="9">
        <f>SUM(Y2:Y9)+SUM(Y12:Y19)+SUM(Y22:Y29)</f>
        <v>0</v>
      </c>
      <c r="J52" t="s">
        <v>49</v>
      </c>
      <c r="K52" s="9">
        <f>SUM(AB4,AB14,AB24,X28,X18,X8)</f>
        <v>0</v>
      </c>
      <c r="L52" s="10" t="s">
        <v>13</v>
      </c>
      <c r="M52" s="7">
        <v>1</v>
      </c>
    </row>
    <row r="53" spans="5:13" x14ac:dyDescent="0.25">
      <c r="E53" s="11" t="s">
        <v>20</v>
      </c>
      <c r="F53" s="9">
        <f t="shared" si="1"/>
        <v>1</v>
      </c>
      <c r="G53" s="12" t="s">
        <v>16</v>
      </c>
      <c r="H53" s="9">
        <f>SUM(Z2:Z9)+SUM(Z12:Z19)+SUM(Z22:Z29)</f>
        <v>1</v>
      </c>
      <c r="J53" t="s">
        <v>50</v>
      </c>
      <c r="K53" s="9">
        <f>SUM(AC4,AC14,AC24,X19,X9,X29)</f>
        <v>0</v>
      </c>
      <c r="L53" s="10" t="s">
        <v>13</v>
      </c>
      <c r="M53" s="7">
        <v>1</v>
      </c>
    </row>
    <row r="54" spans="5:13" x14ac:dyDescent="0.25">
      <c r="E54" s="11" t="s">
        <v>21</v>
      </c>
      <c r="F54" s="9">
        <f t="shared" si="1"/>
        <v>1</v>
      </c>
      <c r="G54" s="12" t="s">
        <v>16</v>
      </c>
      <c r="H54" s="9">
        <f>SUM(AA2:AA9)+SUM(AA12:AA19)+SUM(AA22:AA29)</f>
        <v>1</v>
      </c>
      <c r="J54" t="s">
        <v>51</v>
      </c>
      <c r="K54" s="9">
        <f>SUM(Z5,Z15,Z25,Y26,Y16,Y6)</f>
        <v>0</v>
      </c>
      <c r="L54" s="10" t="s">
        <v>13</v>
      </c>
      <c r="M54" s="7">
        <v>1</v>
      </c>
    </row>
    <row r="55" spans="5:13" x14ac:dyDescent="0.25">
      <c r="E55" s="11" t="s">
        <v>23</v>
      </c>
      <c r="F55" s="9">
        <f t="shared" si="1"/>
        <v>0</v>
      </c>
      <c r="G55" s="12" t="s">
        <v>16</v>
      </c>
      <c r="H55" s="9">
        <f>SUM(AB2:AB9)+SUM(AB12:AB19)+SUM(AB22:AB29)</f>
        <v>0</v>
      </c>
      <c r="J55" t="s">
        <v>52</v>
      </c>
      <c r="K55" s="9">
        <f>SUM(AA5,AA15,AA25,Y27,Y17,Y7)</f>
        <v>0</v>
      </c>
      <c r="L55" s="10" t="s">
        <v>13</v>
      </c>
      <c r="M55" s="7">
        <v>1</v>
      </c>
    </row>
    <row r="56" spans="5:13" x14ac:dyDescent="0.25">
      <c r="E56" s="11" t="s">
        <v>25</v>
      </c>
      <c r="F56" s="9">
        <f t="shared" si="1"/>
        <v>0</v>
      </c>
      <c r="G56" s="12" t="s">
        <v>16</v>
      </c>
      <c r="H56" s="9">
        <f>SUM(AC2:AC9)+SUM(AC12:AC19)+SUM(AC22:AC29)</f>
        <v>0</v>
      </c>
      <c r="J56" t="s">
        <v>53</v>
      </c>
      <c r="K56" s="9">
        <f>SUM(AB5,AB15,AB25,Y28,Y18,Y8)</f>
        <v>0</v>
      </c>
      <c r="L56" s="10" t="s">
        <v>13</v>
      </c>
      <c r="M56" s="7">
        <v>1</v>
      </c>
    </row>
    <row r="57" spans="5:13" x14ac:dyDescent="0.25">
      <c r="J57" t="s">
        <v>54</v>
      </c>
      <c r="K57" s="9">
        <f>SUM(AC5,AC15,AC25,Y29,Y19,Y9)</f>
        <v>0</v>
      </c>
      <c r="L57" s="10" t="s">
        <v>13</v>
      </c>
      <c r="M57" s="7">
        <v>1</v>
      </c>
    </row>
    <row r="58" spans="5:13" x14ac:dyDescent="0.25">
      <c r="E58" s="5" t="s">
        <v>28</v>
      </c>
      <c r="J58" t="s">
        <v>55</v>
      </c>
      <c r="K58" s="9">
        <f>SUM(AA6,AA16,AA26,Z27,Z17,Z7)</f>
        <v>1</v>
      </c>
      <c r="L58" s="10" t="s">
        <v>13</v>
      </c>
      <c r="M58" s="7">
        <v>1</v>
      </c>
    </row>
    <row r="59" spans="5:13" x14ac:dyDescent="0.25">
      <c r="E59" s="9">
        <f>SUM(V2,W3,X4,Y5,Z6,AA7,AB8,AC9,V12,W13,X14,Y15,Z16,AA17,AB18,AC19,V22,W23,X24,Y25,Z26,AA27,AB28,AC29)</f>
        <v>0</v>
      </c>
      <c r="F59" s="12" t="s">
        <v>16</v>
      </c>
      <c r="G59" s="7">
        <v>0</v>
      </c>
      <c r="J59" t="s">
        <v>56</v>
      </c>
      <c r="K59" s="9">
        <f>SUM(AB6,AB16,AB26,Z28,Z18,Z8)</f>
        <v>0</v>
      </c>
      <c r="L59" s="10" t="s">
        <v>13</v>
      </c>
      <c r="M59" s="7">
        <v>1</v>
      </c>
    </row>
    <row r="60" spans="5:13" x14ac:dyDescent="0.25">
      <c r="J60" t="s">
        <v>58</v>
      </c>
      <c r="K60" s="9">
        <f>SUM(AC6,AC16,AC26,Z29,Z19,Z9)</f>
        <v>0</v>
      </c>
      <c r="L60" s="10" t="s">
        <v>13</v>
      </c>
      <c r="M60" s="7">
        <v>1</v>
      </c>
    </row>
    <row r="61" spans="5:13" x14ac:dyDescent="0.25">
      <c r="E61" s="3" t="s">
        <v>29</v>
      </c>
      <c r="J61" t="s">
        <v>59</v>
      </c>
      <c r="K61" s="9">
        <f>SUM(AB7,AB17,AB27,AA28,AA18,AA8)</f>
        <v>0</v>
      </c>
      <c r="L61" s="10" t="s">
        <v>13</v>
      </c>
      <c r="M61" s="7">
        <v>1</v>
      </c>
    </row>
    <row r="62" spans="5:13" x14ac:dyDescent="0.25">
      <c r="E62" s="9">
        <f>SUM(V2:AC9)+SUM(V12:AC19)+SUM(V22:AC29)</f>
        <v>5</v>
      </c>
      <c r="F62" s="12" t="s">
        <v>16</v>
      </c>
      <c r="G62" s="7">
        <v>5</v>
      </c>
      <c r="J62" t="s">
        <v>60</v>
      </c>
      <c r="K62" s="9">
        <f>SUM(AC7,AC17,AC27,AA29,AA19,AA9)</f>
        <v>0</v>
      </c>
      <c r="L62" s="10" t="s">
        <v>13</v>
      </c>
      <c r="M62" s="7">
        <v>1</v>
      </c>
    </row>
    <row r="63" spans="5:13" x14ac:dyDescent="0.25">
      <c r="J63" t="s">
        <v>61</v>
      </c>
      <c r="K63" s="9">
        <f>SUM(AC8,AC18,AC28,AB29,AB19,AB9)</f>
        <v>0</v>
      </c>
      <c r="L63" s="10" t="s">
        <v>13</v>
      </c>
      <c r="M63" s="7">
        <v>1</v>
      </c>
    </row>
    <row r="66" spans="1:1" x14ac:dyDescent="0.25">
      <c r="A66" s="6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Base</vt:lpstr>
      <vt:lpstr>Base (2)</vt:lpstr>
      <vt:lpstr>Base (3)</vt:lpstr>
      <vt:lpstr>Base (4)</vt:lpstr>
      <vt:lpstr>Base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Ricchebono</dc:creator>
  <cp:lastModifiedBy>giova</cp:lastModifiedBy>
  <dcterms:created xsi:type="dcterms:W3CDTF">2022-12-19T16:01:28Z</dcterms:created>
  <dcterms:modified xsi:type="dcterms:W3CDTF">2023-01-23T15:11:57Z</dcterms:modified>
</cp:coreProperties>
</file>